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jonat\Downloads\"/>
    </mc:Choice>
  </mc:AlternateContent>
  <xr:revisionPtr revIDLastSave="0" documentId="8_{00BAF116-00EF-467A-A4F5-D21D2C0C5667}" xr6:coauthVersionLast="47" xr6:coauthVersionMax="47" xr10:uidLastSave="{00000000-0000-0000-0000-000000000000}"/>
  <bookViews>
    <workbookView xWindow="1905" yWindow="7530" windowWidth="17265" windowHeight="10755" firstSheet="3" activeTab="3" xr2:uid="{5F9EB1E6-0E03-4085-A7B9-8898149D48B8}"/>
  </bookViews>
  <sheets>
    <sheet name="revenue_billing_raw_data_sample" sheetId="1" r:id="rId1"/>
    <sheet name="Cleaned_Data" sheetId="2" r:id="rId2"/>
    <sheet name="Pivot_Tables" sheetId="3" r:id="rId3"/>
    <sheet name="Revenue_Dashboard_v2.xlsx" sheetId="4" r:id="rId4"/>
  </sheets>
  <definedNames>
    <definedName name="Slicer_Denial_or_Exception">#N/A</definedName>
    <definedName name="Slicer_Payment_Status">#N/A</definedName>
    <definedName name="Slicer_Region">#N/A</definedName>
    <definedName name="Slicer_Service_Category">#N/A</definedName>
  </definedNames>
  <calcPr calcId="191029"/>
  <pivotCaches>
    <pivotCache cacheId="5"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Q9" i="2"/>
  <c r="Q10" i="2"/>
  <c r="Q11" i="2"/>
  <c r="Q23" i="2"/>
  <c r="Q24" i="2"/>
  <c r="Q25" i="2"/>
  <c r="Q33" i="2"/>
  <c r="Q34" i="2"/>
  <c r="Q35" i="2"/>
  <c r="Q47" i="2"/>
  <c r="Q48" i="2"/>
  <c r="Q50" i="2"/>
  <c r="Q58" i="2"/>
  <c r="Q63" i="2"/>
  <c r="Q64" i="2"/>
  <c r="Q66" i="2"/>
  <c r="Q72" i="2"/>
  <c r="Q74" i="2"/>
  <c r="Q89" i="2"/>
  <c r="Q90" i="2"/>
  <c r="Q98" i="2"/>
  <c r="Q99" i="2"/>
  <c r="Q106" i="2"/>
  <c r="Q111" i="2"/>
  <c r="Q112" i="2"/>
  <c r="Q113" i="2"/>
  <c r="Q114" i="2"/>
  <c r="Q121" i="2"/>
  <c r="Q122" i="2"/>
  <c r="Q128" i="2"/>
  <c r="Q136" i="2"/>
  <c r="Q137" i="2"/>
  <c r="Q139" i="2"/>
  <c r="Q145" i="2"/>
  <c r="Q151" i="2"/>
  <c r="Q152" i="2"/>
  <c r="Q153" i="2"/>
  <c r="Q154" i="2"/>
  <c r="Q155" i="2"/>
  <c r="Q168" i="2"/>
  <c r="Q170" i="2"/>
  <c r="Q178" i="2"/>
  <c r="Q186" i="2"/>
  <c r="Q187" i="2"/>
  <c r="Q192" i="2"/>
  <c r="Q193" i="2"/>
  <c r="Q194" i="2"/>
  <c r="Q195" i="2"/>
  <c r="Q196" i="2"/>
  <c r="Q201" i="2"/>
  <c r="Q202" i="2"/>
  <c r="Q203" i="2"/>
  <c r="Q207" i="2"/>
  <c r="Q210" i="2"/>
  <c r="Q213" i="2"/>
  <c r="Q217" i="2"/>
  <c r="Q225" i="2"/>
  <c r="Q227" i="2"/>
  <c r="Q228" i="2"/>
  <c r="Q229" i="2"/>
  <c r="Q239" i="2"/>
  <c r="Q241" i="2"/>
  <c r="Q242" i="2"/>
  <c r="Q244" i="2"/>
  <c r="Q250" i="2"/>
  <c r="Q251" i="2"/>
  <c r="Q255" i="2"/>
  <c r="P15" i="2"/>
  <c r="Q15" i="2" s="1"/>
  <c r="P16" i="2"/>
  <c r="Q16" i="2" s="1"/>
  <c r="P20" i="2"/>
  <c r="P24" i="2"/>
  <c r="P31" i="2"/>
  <c r="Q31" i="2" s="1"/>
  <c r="P32" i="2"/>
  <c r="P39" i="2"/>
  <c r="Q39" i="2" s="1"/>
  <c r="P40" i="2"/>
  <c r="Q40" i="2" s="1"/>
  <c r="P44" i="2"/>
  <c r="P45" i="2"/>
  <c r="P55" i="2"/>
  <c r="Q55" i="2" s="1"/>
  <c r="P56" i="2"/>
  <c r="Q56" i="2" s="1"/>
  <c r="P63" i="2"/>
  <c r="P64" i="2"/>
  <c r="P79" i="2"/>
  <c r="Q79" i="2" s="1"/>
  <c r="P80" i="2"/>
  <c r="P84" i="2"/>
  <c r="P88" i="2"/>
  <c r="Q88" i="2" s="1"/>
  <c r="P95" i="2"/>
  <c r="Q95" i="2" s="1"/>
  <c r="P96" i="2"/>
  <c r="Q96" i="2" s="1"/>
  <c r="P103" i="2"/>
  <c r="Q103" i="2" s="1"/>
  <c r="P104" i="2"/>
  <c r="Q104" i="2" s="1"/>
  <c r="P108" i="2"/>
  <c r="P109" i="2"/>
  <c r="P119" i="2"/>
  <c r="P120" i="2"/>
  <c r="P127" i="2"/>
  <c r="Q127" i="2" s="1"/>
  <c r="P128" i="2"/>
  <c r="P143" i="2"/>
  <c r="Q143" i="2" s="1"/>
  <c r="P144" i="2"/>
  <c r="P148" i="2"/>
  <c r="P152" i="2"/>
  <c r="P159" i="2"/>
  <c r="Q159" i="2" s="1"/>
  <c r="P160" i="2"/>
  <c r="P167" i="2"/>
  <c r="P168" i="2"/>
  <c r="P172" i="2"/>
  <c r="P173" i="2"/>
  <c r="Q173" i="2" s="1"/>
  <c r="P183" i="2"/>
  <c r="P184" i="2"/>
  <c r="Q184" i="2" s="1"/>
  <c r="P191" i="2"/>
  <c r="P192" i="2"/>
  <c r="P207" i="2"/>
  <c r="P208" i="2"/>
  <c r="P212" i="2"/>
  <c r="Q212" i="2" s="1"/>
  <c r="P216" i="2"/>
  <c r="Q216" i="2" s="1"/>
  <c r="P223" i="2"/>
  <c r="Q223" i="2" s="1"/>
  <c r="P224" i="2"/>
  <c r="P231" i="2"/>
  <c r="P232" i="2"/>
  <c r="Q232" i="2" s="1"/>
  <c r="P236" i="2"/>
  <c r="Q236" i="2" s="1"/>
  <c r="P237" i="2"/>
  <c r="Q237" i="2" s="1"/>
  <c r="P247" i="2"/>
  <c r="P248" i="2"/>
  <c r="Q248" i="2" s="1"/>
  <c r="P255" i="2"/>
  <c r="P256" i="2"/>
  <c r="Q256"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 i="2"/>
  <c r="N3" i="2"/>
  <c r="Q3" i="2" s="1"/>
  <c r="N4" i="2"/>
  <c r="Q4" i="2" s="1"/>
  <c r="N5" i="2"/>
  <c r="P5" i="2" s="1"/>
  <c r="Q5" i="2" s="1"/>
  <c r="N6" i="2"/>
  <c r="P6" i="2" s="1"/>
  <c r="Q6" i="2" s="1"/>
  <c r="N7" i="2"/>
  <c r="Q7" i="2" s="1"/>
  <c r="N8" i="2"/>
  <c r="P8" i="2" s="1"/>
  <c r="Q8" i="2" s="1"/>
  <c r="N9" i="2"/>
  <c r="P9" i="2" s="1"/>
  <c r="N10" i="2"/>
  <c r="P10" i="2" s="1"/>
  <c r="N11" i="2"/>
  <c r="P11" i="2" s="1"/>
  <c r="N12" i="2"/>
  <c r="P12" i="2" s="1"/>
  <c r="N13" i="2"/>
  <c r="P13" i="2" s="1"/>
  <c r="N14" i="2"/>
  <c r="Q14" i="2" s="1"/>
  <c r="N15" i="2"/>
  <c r="N16" i="2"/>
  <c r="N17" i="2"/>
  <c r="P17" i="2" s="1"/>
  <c r="Q17" i="2" s="1"/>
  <c r="N18" i="2"/>
  <c r="Q18" i="2" s="1"/>
  <c r="N19" i="2"/>
  <c r="P19" i="2" s="1"/>
  <c r="Q19" i="2" s="1"/>
  <c r="N20" i="2"/>
  <c r="Q20" i="2" s="1"/>
  <c r="N21" i="2"/>
  <c r="Q21" i="2" s="1"/>
  <c r="N22" i="2"/>
  <c r="P22" i="2" s="1"/>
  <c r="N23" i="2"/>
  <c r="P23" i="2" s="1"/>
  <c r="N24" i="2"/>
  <c r="N25" i="2"/>
  <c r="P25" i="2" s="1"/>
  <c r="N26" i="2"/>
  <c r="Q26" i="2" s="1"/>
  <c r="N27" i="2"/>
  <c r="P27" i="2" s="1"/>
  <c r="Q27" i="2" s="1"/>
  <c r="N28" i="2"/>
  <c r="Q28" i="2" s="1"/>
  <c r="N29" i="2"/>
  <c r="P29" i="2" s="1"/>
  <c r="Q29" i="2" s="1"/>
  <c r="N30" i="2"/>
  <c r="Q30" i="2" s="1"/>
  <c r="N31" i="2"/>
  <c r="N32" i="2"/>
  <c r="Q32" i="2" s="1"/>
  <c r="N33" i="2"/>
  <c r="P33" i="2" s="1"/>
  <c r="N34" i="2"/>
  <c r="P34" i="2" s="1"/>
  <c r="N35" i="2"/>
  <c r="P35" i="2" s="1"/>
  <c r="N36" i="2"/>
  <c r="Q36" i="2" s="1"/>
  <c r="N37" i="2"/>
  <c r="Q37" i="2" s="1"/>
  <c r="N38" i="2"/>
  <c r="P38" i="2" s="1"/>
  <c r="Q38" i="2" s="1"/>
  <c r="N39" i="2"/>
  <c r="N40" i="2"/>
  <c r="N41" i="2"/>
  <c r="P41" i="2" s="1"/>
  <c r="Q41" i="2" s="1"/>
  <c r="N42" i="2"/>
  <c r="P42" i="2" s="1"/>
  <c r="Q42" i="2" s="1"/>
  <c r="N43" i="2"/>
  <c r="P43" i="2" s="1"/>
  <c r="Q43" i="2" s="1"/>
  <c r="N44" i="2"/>
  <c r="Q44" i="2" s="1"/>
  <c r="N45" i="2"/>
  <c r="Q45" i="2" s="1"/>
  <c r="N46" i="2"/>
  <c r="Q46" i="2" s="1"/>
  <c r="N47" i="2"/>
  <c r="P47" i="2" s="1"/>
  <c r="N48" i="2"/>
  <c r="P48" i="2" s="1"/>
  <c r="N49" i="2"/>
  <c r="P49" i="2" s="1"/>
  <c r="Q49" i="2" s="1"/>
  <c r="N50" i="2"/>
  <c r="P50" i="2" s="1"/>
  <c r="N51" i="2"/>
  <c r="P51" i="2" s="1"/>
  <c r="Q51" i="2" s="1"/>
  <c r="N52" i="2"/>
  <c r="Q52" i="2" s="1"/>
  <c r="N53" i="2"/>
  <c r="Q53" i="2" s="1"/>
  <c r="N54" i="2"/>
  <c r="Q54" i="2" s="1"/>
  <c r="N55" i="2"/>
  <c r="N56" i="2"/>
  <c r="N57" i="2"/>
  <c r="P57" i="2" s="1"/>
  <c r="Q57" i="2" s="1"/>
  <c r="N58" i="2"/>
  <c r="P58" i="2" s="1"/>
  <c r="N59" i="2"/>
  <c r="P59" i="2" s="1"/>
  <c r="Q59" i="2" s="1"/>
  <c r="N60" i="2"/>
  <c r="Q60" i="2" s="1"/>
  <c r="N61" i="2"/>
  <c r="P61" i="2" s="1"/>
  <c r="N62" i="2"/>
  <c r="P62" i="2" s="1"/>
  <c r="Q62" i="2" s="1"/>
  <c r="N63" i="2"/>
  <c r="N64" i="2"/>
  <c r="N65" i="2"/>
  <c r="P65" i="2" s="1"/>
  <c r="Q65" i="2" s="1"/>
  <c r="N66" i="2"/>
  <c r="P66" i="2" s="1"/>
  <c r="N67" i="2"/>
  <c r="Q67" i="2" s="1"/>
  <c r="N68" i="2"/>
  <c r="P68" i="2" s="1"/>
  <c r="Q68" i="2" s="1"/>
  <c r="N69" i="2"/>
  <c r="Q69" i="2" s="1"/>
  <c r="N70" i="2"/>
  <c r="Q70" i="2" s="1"/>
  <c r="N71" i="2"/>
  <c r="Q71" i="2" s="1"/>
  <c r="N72" i="2"/>
  <c r="P72" i="2" s="1"/>
  <c r="N73" i="2"/>
  <c r="P73" i="2" s="1"/>
  <c r="Q73" i="2" s="1"/>
  <c r="N74" i="2"/>
  <c r="P74" i="2" s="1"/>
  <c r="N75" i="2"/>
  <c r="P75" i="2" s="1"/>
  <c r="Q75" i="2" s="1"/>
  <c r="N76" i="2"/>
  <c r="P76" i="2" s="1"/>
  <c r="Q76" i="2" s="1"/>
  <c r="N77" i="2"/>
  <c r="Q77" i="2" s="1"/>
  <c r="N78" i="2"/>
  <c r="P78" i="2" s="1"/>
  <c r="Q78" i="2" s="1"/>
  <c r="N79" i="2"/>
  <c r="N80" i="2"/>
  <c r="Q80" i="2" s="1"/>
  <c r="N81" i="2"/>
  <c r="P81" i="2" s="1"/>
  <c r="Q81" i="2" s="1"/>
  <c r="N82" i="2"/>
  <c r="Q82" i="2" s="1"/>
  <c r="N83" i="2"/>
  <c r="P83" i="2" s="1"/>
  <c r="Q83" i="2" s="1"/>
  <c r="N84" i="2"/>
  <c r="Q84" i="2" s="1"/>
  <c r="N85" i="2"/>
  <c r="Q85" i="2" s="1"/>
  <c r="N86" i="2"/>
  <c r="Q86" i="2" s="1"/>
  <c r="N87" i="2"/>
  <c r="Q87" i="2" s="1"/>
  <c r="N88" i="2"/>
  <c r="N89" i="2"/>
  <c r="P89" i="2" s="1"/>
  <c r="N90" i="2"/>
  <c r="P90" i="2" s="1"/>
  <c r="N91" i="2"/>
  <c r="P91" i="2" s="1"/>
  <c r="Q91" i="2" s="1"/>
  <c r="N92" i="2"/>
  <c r="P92" i="2" s="1"/>
  <c r="N93" i="2"/>
  <c r="Q93" i="2" s="1"/>
  <c r="N94" i="2"/>
  <c r="Q94" i="2" s="1"/>
  <c r="N95" i="2"/>
  <c r="N96" i="2"/>
  <c r="N97" i="2"/>
  <c r="P97" i="2" s="1"/>
  <c r="Q97" i="2" s="1"/>
  <c r="N98" i="2"/>
  <c r="P98" i="2" s="1"/>
  <c r="N99" i="2"/>
  <c r="P99" i="2" s="1"/>
  <c r="N100" i="2"/>
  <c r="Q100" i="2" s="1"/>
  <c r="N101" i="2"/>
  <c r="Q101" i="2" s="1"/>
  <c r="N102" i="2"/>
  <c r="Q102" i="2" s="1"/>
  <c r="N103" i="2"/>
  <c r="N104" i="2"/>
  <c r="N105" i="2"/>
  <c r="P105" i="2" s="1"/>
  <c r="Q105" i="2" s="1"/>
  <c r="N106" i="2"/>
  <c r="P106" i="2" s="1"/>
  <c r="N107" i="2"/>
  <c r="Q107" i="2" s="1"/>
  <c r="N108" i="2"/>
  <c r="Q108" i="2" s="1"/>
  <c r="N109" i="2"/>
  <c r="Q109" i="2" s="1"/>
  <c r="N110" i="2"/>
  <c r="P110" i="2" s="1"/>
  <c r="N111" i="2"/>
  <c r="P111" i="2" s="1"/>
  <c r="N112" i="2"/>
  <c r="P112" i="2" s="1"/>
  <c r="N113" i="2"/>
  <c r="P113" i="2" s="1"/>
  <c r="N114" i="2"/>
  <c r="P114" i="2" s="1"/>
  <c r="N115" i="2"/>
  <c r="Q115" i="2" s="1"/>
  <c r="N116" i="2"/>
  <c r="Q116" i="2" s="1"/>
  <c r="N117" i="2"/>
  <c r="P117" i="2" s="1"/>
  <c r="Q117" i="2" s="1"/>
  <c r="N118" i="2"/>
  <c r="P118" i="2" s="1"/>
  <c r="Q118" i="2" s="1"/>
  <c r="N119" i="2"/>
  <c r="Q119" i="2" s="1"/>
  <c r="N120" i="2"/>
  <c r="Q120" i="2" s="1"/>
  <c r="N121" i="2"/>
  <c r="P121" i="2" s="1"/>
  <c r="N122" i="2"/>
  <c r="P122" i="2" s="1"/>
  <c r="N123" i="2"/>
  <c r="P123" i="2" s="1"/>
  <c r="Q123" i="2" s="1"/>
  <c r="N124" i="2"/>
  <c r="P124" i="2" s="1"/>
  <c r="N125" i="2"/>
  <c r="P125" i="2" s="1"/>
  <c r="Q125" i="2" s="1"/>
  <c r="N126" i="2"/>
  <c r="P126" i="2" s="1"/>
  <c r="Q126" i="2" s="1"/>
  <c r="N127" i="2"/>
  <c r="N128" i="2"/>
  <c r="N129" i="2"/>
  <c r="P129" i="2" s="1"/>
  <c r="Q129" i="2" s="1"/>
  <c r="N130" i="2"/>
  <c r="P130" i="2" s="1"/>
  <c r="Q130" i="2" s="1"/>
  <c r="N131" i="2"/>
  <c r="Q131" i="2" s="1"/>
  <c r="N132" i="2"/>
  <c r="P132" i="2" s="1"/>
  <c r="Q132" i="2" s="1"/>
  <c r="N133" i="2"/>
  <c r="Q133" i="2" s="1"/>
  <c r="N134" i="2"/>
  <c r="P134" i="2" s="1"/>
  <c r="Q134" i="2" s="1"/>
  <c r="N135" i="2"/>
  <c r="Q135" i="2" s="1"/>
  <c r="N136" i="2"/>
  <c r="P136" i="2" s="1"/>
  <c r="N137" i="2"/>
  <c r="P137" i="2" s="1"/>
  <c r="N138" i="2"/>
  <c r="P138" i="2" s="1"/>
  <c r="Q138" i="2" s="1"/>
  <c r="N139" i="2"/>
  <c r="P139" i="2" s="1"/>
  <c r="N140" i="2"/>
  <c r="P140" i="2" s="1"/>
  <c r="Q140" i="2" s="1"/>
  <c r="N141" i="2"/>
  <c r="P141" i="2" s="1"/>
  <c r="Q141" i="2" s="1"/>
  <c r="N142" i="2"/>
  <c r="P142" i="2" s="1"/>
  <c r="Q142" i="2" s="1"/>
  <c r="N143" i="2"/>
  <c r="N144" i="2"/>
  <c r="Q144" i="2" s="1"/>
  <c r="N145" i="2"/>
  <c r="P145" i="2" s="1"/>
  <c r="N146" i="2"/>
  <c r="Q146" i="2" s="1"/>
  <c r="N147" i="2"/>
  <c r="P147" i="2" s="1"/>
  <c r="Q147" i="2" s="1"/>
  <c r="N148" i="2"/>
  <c r="Q148" i="2" s="1"/>
  <c r="N149" i="2"/>
  <c r="P149" i="2" s="1"/>
  <c r="Q149" i="2" s="1"/>
  <c r="N150" i="2"/>
  <c r="Q150" i="2" s="1"/>
  <c r="N151" i="2"/>
  <c r="P151" i="2" s="1"/>
  <c r="N152" i="2"/>
  <c r="N153" i="2"/>
  <c r="P153" i="2" s="1"/>
  <c r="N154" i="2"/>
  <c r="P154" i="2" s="1"/>
  <c r="N155" i="2"/>
  <c r="P155" i="2" s="1"/>
  <c r="N156" i="2"/>
  <c r="Q156" i="2" s="1"/>
  <c r="N157" i="2"/>
  <c r="P157" i="2" s="1"/>
  <c r="Q157" i="2" s="1"/>
  <c r="N158" i="2"/>
  <c r="Q158" i="2" s="1"/>
  <c r="N159" i="2"/>
  <c r="N160" i="2"/>
  <c r="Q160" i="2" s="1"/>
  <c r="N161" i="2"/>
  <c r="P161" i="2" s="1"/>
  <c r="Q161" i="2" s="1"/>
  <c r="N162" i="2"/>
  <c r="P162" i="2" s="1"/>
  <c r="Q162" i="2" s="1"/>
  <c r="N163" i="2"/>
  <c r="P163" i="2" s="1"/>
  <c r="Q163" i="2" s="1"/>
  <c r="N164" i="2"/>
  <c r="Q164" i="2" s="1"/>
  <c r="N165" i="2"/>
  <c r="P165" i="2" s="1"/>
  <c r="Q165" i="2" s="1"/>
  <c r="N166" i="2"/>
  <c r="Q166" i="2" s="1"/>
  <c r="N167" i="2"/>
  <c r="Q167" i="2" s="1"/>
  <c r="N168" i="2"/>
  <c r="N169" i="2"/>
  <c r="P169" i="2" s="1"/>
  <c r="Q169" i="2" s="1"/>
  <c r="N170" i="2"/>
  <c r="P170" i="2" s="1"/>
  <c r="N171" i="2"/>
  <c r="P171" i="2" s="1"/>
  <c r="Q171" i="2" s="1"/>
  <c r="N172" i="2"/>
  <c r="Q172" i="2" s="1"/>
  <c r="N173" i="2"/>
  <c r="N174" i="2"/>
  <c r="Q174" i="2" s="1"/>
  <c r="N175" i="2"/>
  <c r="P175" i="2" s="1"/>
  <c r="Q175" i="2" s="1"/>
  <c r="N176" i="2"/>
  <c r="P176" i="2" s="1"/>
  <c r="Q176" i="2" s="1"/>
  <c r="N177" i="2"/>
  <c r="P177" i="2" s="1"/>
  <c r="Q177" i="2" s="1"/>
  <c r="N178" i="2"/>
  <c r="P178" i="2" s="1"/>
  <c r="N179" i="2"/>
  <c r="P179" i="2" s="1"/>
  <c r="Q179" i="2" s="1"/>
  <c r="N180" i="2"/>
  <c r="P180" i="2" s="1"/>
  <c r="Q180" i="2" s="1"/>
  <c r="N181" i="2"/>
  <c r="P181" i="2" s="1"/>
  <c r="N182" i="2"/>
  <c r="P182" i="2" s="1"/>
  <c r="N183" i="2"/>
  <c r="Q183" i="2" s="1"/>
  <c r="N184" i="2"/>
  <c r="N185" i="2"/>
  <c r="P185" i="2" s="1"/>
  <c r="Q185" i="2" s="1"/>
  <c r="N186" i="2"/>
  <c r="P186" i="2" s="1"/>
  <c r="N187" i="2"/>
  <c r="P187" i="2" s="1"/>
  <c r="N188" i="2"/>
  <c r="P188" i="2" s="1"/>
  <c r="Q188" i="2" s="1"/>
  <c r="N189" i="2"/>
  <c r="Q189" i="2" s="1"/>
  <c r="N190" i="2"/>
  <c r="Q190" i="2" s="1"/>
  <c r="N191" i="2"/>
  <c r="Q191" i="2" s="1"/>
  <c r="N192" i="2"/>
  <c r="N193" i="2"/>
  <c r="P193" i="2" s="1"/>
  <c r="N194" i="2"/>
  <c r="P194" i="2" s="1"/>
  <c r="N195" i="2"/>
  <c r="P195" i="2" s="1"/>
  <c r="N196" i="2"/>
  <c r="P196" i="2" s="1"/>
  <c r="N197" i="2"/>
  <c r="Q197" i="2" s="1"/>
  <c r="N198" i="2"/>
  <c r="P198" i="2" s="1"/>
  <c r="Q198" i="2" s="1"/>
  <c r="N199" i="2"/>
  <c r="P199" i="2" s="1"/>
  <c r="Q199" i="2" s="1"/>
  <c r="N200" i="2"/>
  <c r="Q200" i="2" s="1"/>
  <c r="N201" i="2"/>
  <c r="P201" i="2" s="1"/>
  <c r="N202" i="2"/>
  <c r="P202" i="2" s="1"/>
  <c r="N203" i="2"/>
  <c r="P203" i="2" s="1"/>
  <c r="N204" i="2"/>
  <c r="P204" i="2" s="1"/>
  <c r="N205" i="2"/>
  <c r="P205" i="2" s="1"/>
  <c r="N206" i="2"/>
  <c r="P206" i="2" s="1"/>
  <c r="Q206" i="2" s="1"/>
  <c r="N207" i="2"/>
  <c r="N208" i="2"/>
  <c r="Q208" i="2" s="1"/>
  <c r="N209" i="2"/>
  <c r="P209" i="2" s="1"/>
  <c r="N210" i="2"/>
  <c r="P210" i="2" s="1"/>
  <c r="N211" i="2"/>
  <c r="P211" i="2" s="1"/>
  <c r="Q211" i="2" s="1"/>
  <c r="N212" i="2"/>
  <c r="N213" i="2"/>
  <c r="P213" i="2" s="1"/>
  <c r="N214" i="2"/>
  <c r="P214" i="2" s="1"/>
  <c r="Q214" i="2" s="1"/>
  <c r="N215" i="2"/>
  <c r="Q215" i="2" s="1"/>
  <c r="N216" i="2"/>
  <c r="N217" i="2"/>
  <c r="P217" i="2" s="1"/>
  <c r="N218" i="2"/>
  <c r="P218" i="2" s="1"/>
  <c r="Q218" i="2" s="1"/>
  <c r="N219" i="2"/>
  <c r="P219" i="2" s="1"/>
  <c r="Q219" i="2" s="1"/>
  <c r="N220" i="2"/>
  <c r="P220" i="2" s="1"/>
  <c r="N221" i="2"/>
  <c r="Q221" i="2" s="1"/>
  <c r="N222" i="2"/>
  <c r="Q222" i="2" s="1"/>
  <c r="N223" i="2"/>
  <c r="N224" i="2"/>
  <c r="Q224" i="2" s="1"/>
  <c r="N225" i="2"/>
  <c r="P225" i="2" s="1"/>
  <c r="N226" i="2"/>
  <c r="P226" i="2" s="1"/>
  <c r="Q226" i="2" s="1"/>
  <c r="N227" i="2"/>
  <c r="P227" i="2" s="1"/>
  <c r="N228" i="2"/>
  <c r="P228" i="2" s="1"/>
  <c r="N229" i="2"/>
  <c r="P229" i="2" s="1"/>
  <c r="N230" i="2"/>
  <c r="Q230" i="2" s="1"/>
  <c r="N231" i="2"/>
  <c r="Q231" i="2" s="1"/>
  <c r="N232" i="2"/>
  <c r="N233" i="2"/>
  <c r="Q233" i="2" s="1"/>
  <c r="N234" i="2"/>
  <c r="Q234" i="2" s="1"/>
  <c r="N235" i="2"/>
  <c r="Q235" i="2" s="1"/>
  <c r="N236" i="2"/>
  <c r="N237" i="2"/>
  <c r="N238" i="2"/>
  <c r="P238" i="2" s="1"/>
  <c r="N239" i="2"/>
  <c r="P239" i="2" s="1"/>
  <c r="N240" i="2"/>
  <c r="P240" i="2" s="1"/>
  <c r="Q240" i="2" s="1"/>
  <c r="N241" i="2"/>
  <c r="P241" i="2" s="1"/>
  <c r="N242" i="2"/>
  <c r="P242" i="2" s="1"/>
  <c r="N243" i="2"/>
  <c r="P243" i="2" s="1"/>
  <c r="Q243" i="2" s="1"/>
  <c r="N244" i="2"/>
  <c r="P244" i="2" s="1"/>
  <c r="N245" i="2"/>
  <c r="P245" i="2" s="1"/>
  <c r="Q245" i="2" s="1"/>
  <c r="N246" i="2"/>
  <c r="Q246" i="2" s="1"/>
  <c r="N247" i="2"/>
  <c r="Q247" i="2" s="1"/>
  <c r="N248" i="2"/>
  <c r="N249" i="2"/>
  <c r="P249" i="2" s="1"/>
  <c r="Q249" i="2" s="1"/>
  <c r="N250" i="2"/>
  <c r="P250" i="2" s="1"/>
  <c r="N251" i="2"/>
  <c r="P251" i="2" s="1"/>
  <c r="N252" i="2"/>
  <c r="P252" i="2" s="1"/>
  <c r="N253" i="2"/>
  <c r="P253" i="2" s="1"/>
  <c r="N254" i="2"/>
  <c r="Q254" i="2" s="1"/>
  <c r="N255" i="2"/>
  <c r="N256" i="2"/>
  <c r="N257" i="2"/>
  <c r="Q257" i="2" s="1"/>
  <c r="N258" i="2"/>
  <c r="P258" i="2" s="1"/>
  <c r="Q258" i="2" s="1"/>
  <c r="N259" i="2"/>
  <c r="Q259" i="2" s="1"/>
  <c r="N260" i="2"/>
  <c r="P260" i="2" s="1"/>
  <c r="Q260" i="2" s="1"/>
  <c r="N261" i="2"/>
  <c r="P261" i="2" s="1"/>
  <c r="Q261" i="2" s="1"/>
  <c r="N2" i="2"/>
  <c r="P2" i="2" s="1"/>
  <c r="Q2" i="2" s="1"/>
  <c r="H4" i="4"/>
  <c r="H3" i="4"/>
  <c r="G2" i="4"/>
  <c r="A2" i="4"/>
  <c r="C2" i="4"/>
  <c r="B2" i="4"/>
  <c r="F2" i="4"/>
  <c r="E2" i="4"/>
  <c r="H2" i="4" l="1"/>
  <c r="D2" i="4"/>
  <c r="P70" i="2"/>
  <c r="Q182" i="2"/>
  <c r="Q92" i="2"/>
  <c r="Q22" i="2"/>
  <c r="P197" i="2"/>
  <c r="P246" i="2"/>
  <c r="P14" i="2"/>
  <c r="Q110" i="2"/>
  <c r="Q13" i="2"/>
  <c r="P158" i="2"/>
  <c r="P133" i="2"/>
  <c r="P94" i="2"/>
  <c r="P69" i="2"/>
  <c r="P30" i="2"/>
  <c r="P221" i="2"/>
  <c r="P93" i="2"/>
  <c r="P4" i="2"/>
  <c r="P53" i="2"/>
  <c r="Q205" i="2"/>
  <c r="P230" i="2"/>
  <c r="P166" i="2"/>
  <c r="P116" i="2"/>
  <c r="P102" i="2"/>
  <c r="P77" i="2"/>
  <c r="P52" i="2"/>
  <c r="Q204" i="2"/>
  <c r="Q12" i="2"/>
  <c r="P254" i="2"/>
  <c r="P215" i="2"/>
  <c r="P190" i="2"/>
  <c r="P101" i="2"/>
  <c r="P87" i="2"/>
  <c r="P37" i="2"/>
  <c r="Q253" i="2"/>
  <c r="Q238" i="2"/>
  <c r="Q220" i="2"/>
  <c r="Q61" i="2"/>
  <c r="P200" i="2"/>
  <c r="P189" i="2"/>
  <c r="P164" i="2"/>
  <c r="P150" i="2"/>
  <c r="P100" i="2"/>
  <c r="P86" i="2"/>
  <c r="P36" i="2"/>
  <c r="Q252" i="2"/>
  <c r="P222" i="2"/>
  <c r="Q181" i="2"/>
  <c r="P54" i="2"/>
  <c r="P156" i="2"/>
  <c r="P28" i="2"/>
  <c r="Q124" i="2"/>
  <c r="P174" i="2"/>
  <c r="P135" i="2"/>
  <c r="P85" i="2"/>
  <c r="P71" i="2"/>
  <c r="P60" i="2"/>
  <c r="P46" i="2"/>
  <c r="P21" i="2"/>
  <c r="P7" i="2"/>
  <c r="P259" i="2"/>
  <c r="P115" i="2"/>
  <c r="P67" i="2"/>
  <c r="P234" i="2"/>
  <c r="P146" i="2"/>
  <c r="P82" i="2"/>
  <c r="P26" i="2"/>
  <c r="P18" i="2"/>
  <c r="Q209" i="2"/>
  <c r="P235" i="2"/>
  <c r="P131" i="2"/>
  <c r="P107" i="2"/>
  <c r="P3" i="2"/>
  <c r="P257" i="2"/>
  <c r="P233" i="2"/>
</calcChain>
</file>

<file path=xl/sharedStrings.xml><?xml version="1.0" encoding="utf-8"?>
<sst xmlns="http://schemas.openxmlformats.org/spreadsheetml/2006/main" count="4266" uniqueCount="355">
  <si>
    <t>Invoice_ID</t>
  </si>
  <si>
    <t>Customer_Name</t>
  </si>
  <si>
    <t>Invoice_Date</t>
  </si>
  <si>
    <t>Due_Date</t>
  </si>
  <si>
    <t>Payment_Date</t>
  </si>
  <si>
    <t>Region</t>
  </si>
  <si>
    <t>Service_Category</t>
  </si>
  <si>
    <t>Billed_Amount</t>
  </si>
  <si>
    <t>Paid_Amount</t>
  </si>
  <si>
    <t>Payment_Status</t>
  </si>
  <si>
    <t>Denial_or_Exception</t>
  </si>
  <si>
    <t>Exception_Reason</t>
  </si>
  <si>
    <t>Account_Manager</t>
  </si>
  <si>
    <t>INV-1017</t>
  </si>
  <si>
    <t>Hillcrest Diagnostics</t>
  </si>
  <si>
    <t>Central</t>
  </si>
  <si>
    <t>Billing Support</t>
  </si>
  <si>
    <t>Unpaid</t>
  </si>
  <si>
    <t>No</t>
  </si>
  <si>
    <t>None</t>
  </si>
  <si>
    <t>K. Brown</t>
  </si>
  <si>
    <t>INV-1022</t>
  </si>
  <si>
    <t>Summit Health</t>
  </si>
  <si>
    <t>North</t>
  </si>
  <si>
    <t>Revenue Audit</t>
  </si>
  <si>
    <t>Paid</t>
  </si>
  <si>
    <t>Yes</t>
  </si>
  <si>
    <t>Eligibility issue</t>
  </si>
  <si>
    <t>R. Nguyen</t>
  </si>
  <si>
    <t>INV-1238</t>
  </si>
  <si>
    <t>East</t>
  </si>
  <si>
    <t>Claims Review</t>
  </si>
  <si>
    <t>A. Lopez</t>
  </si>
  <si>
    <t>INV-1037</t>
  </si>
  <si>
    <t>Denied claim</t>
  </si>
  <si>
    <t>INV-1234</t>
  </si>
  <si>
    <t>Blue Ridge Medical</t>
  </si>
  <si>
    <t>RCM Consulting</t>
  </si>
  <si>
    <t>Coding issue</t>
  </si>
  <si>
    <t>S. Patel</t>
  </si>
  <si>
    <t>INV-1239</t>
  </si>
  <si>
    <t>Red Oak Wellness</t>
  </si>
  <si>
    <t>M. Diaz</t>
  </si>
  <si>
    <t>INV-1179</t>
  </si>
  <si>
    <t>Westgate Family Health</t>
  </si>
  <si>
    <t>West</t>
  </si>
  <si>
    <t>J. Smith</t>
  </si>
  <si>
    <t>INV-1210</t>
  </si>
  <si>
    <t>Parkview Internal Medicine</t>
  </si>
  <si>
    <t>INV-1246</t>
  </si>
  <si>
    <t>Valley Care Center</t>
  </si>
  <si>
    <t>INV-1001</t>
  </si>
  <si>
    <t>Oak Health Group</t>
  </si>
  <si>
    <t>Imaging</t>
  </si>
  <si>
    <t>INV-1123</t>
  </si>
  <si>
    <t>Missing info</t>
  </si>
  <si>
    <t>INV-1065</t>
  </si>
  <si>
    <t>INV-1190</t>
  </si>
  <si>
    <t>Pioneer Care</t>
  </si>
  <si>
    <t>South</t>
  </si>
  <si>
    <t>INV-1010</t>
  </si>
  <si>
    <t>INV-1233</t>
  </si>
  <si>
    <t>INV-1094</t>
  </si>
  <si>
    <t>INV-1181</t>
  </si>
  <si>
    <t>Trinity Wellness</t>
  </si>
  <si>
    <t>INV-1253</t>
  </si>
  <si>
    <t>Partial</t>
  </si>
  <si>
    <t>INV-1110</t>
  </si>
  <si>
    <t>NorthStar Clinic</t>
  </si>
  <si>
    <t>Lab Services</t>
  </si>
  <si>
    <t>INV-1203</t>
  </si>
  <si>
    <t>Metro Family Care</t>
  </si>
  <si>
    <t>INV-1066</t>
  </si>
  <si>
    <t>INV-1083</t>
  </si>
  <si>
    <t>INV-1156</t>
  </si>
  <si>
    <t>INV-1245</t>
  </si>
  <si>
    <t>Riverside Health</t>
  </si>
  <si>
    <t>INV-1161</t>
  </si>
  <si>
    <t>Cedar Grove Health</t>
  </si>
  <si>
    <t>INV-1138</t>
  </si>
  <si>
    <t>INV-1180</t>
  </si>
  <si>
    <t>Lakeside Imaging</t>
  </si>
  <si>
    <t>INV-1091</t>
  </si>
  <si>
    <t>INV-1086</t>
  </si>
  <si>
    <t>INV-1013</t>
  </si>
  <si>
    <t>Underpayment</t>
  </si>
  <si>
    <t>INV-1109</t>
  </si>
  <si>
    <t>INV-1128</t>
  </si>
  <si>
    <t>INV-1143</t>
  </si>
  <si>
    <t>INV-1208</t>
  </si>
  <si>
    <t>INV-1230</t>
  </si>
  <si>
    <t>INV-1016</t>
  </si>
  <si>
    <t>INV-1056</t>
  </si>
  <si>
    <t>Late payment</t>
  </si>
  <si>
    <t>INV-1100</t>
  </si>
  <si>
    <t>INV-1214</t>
  </si>
  <si>
    <t>Canyon Creek Medical</t>
  </si>
  <si>
    <t>INV-1099</t>
  </si>
  <si>
    <t>INV-1194</t>
  </si>
  <si>
    <t>Horizon Medical</t>
  </si>
  <si>
    <t>INV-1171</t>
  </si>
  <si>
    <t>INV-1019</t>
  </si>
  <si>
    <t>INV-1148</t>
  </si>
  <si>
    <t>INV-1131</t>
  </si>
  <si>
    <t>INV-1170</t>
  </si>
  <si>
    <t>INV-1192</t>
  </si>
  <si>
    <t>INV-1162</t>
  </si>
  <si>
    <t>INV-1069</t>
  </si>
  <si>
    <t>INV-1200</t>
  </si>
  <si>
    <t>INV-1038</t>
  </si>
  <si>
    <t>INV-1015</t>
  </si>
  <si>
    <t>Sunrise Medical Partners</t>
  </si>
  <si>
    <t>INV-1031</t>
  </si>
  <si>
    <t>Duplicate invoice</t>
  </si>
  <si>
    <t>INV-1036</t>
  </si>
  <si>
    <t>INV-1058</t>
  </si>
  <si>
    <t>INV-1008</t>
  </si>
  <si>
    <t>INV-1120</t>
  </si>
  <si>
    <t>Prime Family Clinic</t>
  </si>
  <si>
    <t>INV-1167</t>
  </si>
  <si>
    <t>INV-1154</t>
  </si>
  <si>
    <t>INV-1047</t>
  </si>
  <si>
    <t>INV-1249</t>
  </si>
  <si>
    <t>INV-1187</t>
  </si>
  <si>
    <t>INV-1178</t>
  </si>
  <si>
    <t>INV-1101</t>
  </si>
  <si>
    <t>Evergreen Pediatrics</t>
  </si>
  <si>
    <t>INV-1221</t>
  </si>
  <si>
    <t>INV-1215</t>
  </si>
  <si>
    <t>INV-1183</t>
  </si>
  <si>
    <t>INV-1228</t>
  </si>
  <si>
    <t>INV-1061</t>
  </si>
  <si>
    <t>INV-1042</t>
  </si>
  <si>
    <t>INV-1020</t>
  </si>
  <si>
    <t>INV-1030</t>
  </si>
  <si>
    <t>INV-1172</t>
  </si>
  <si>
    <t>INV-1241</t>
  </si>
  <si>
    <t>INV-1054</t>
  </si>
  <si>
    <t>INV-1121</t>
  </si>
  <si>
    <t>INV-1141</t>
  </si>
  <si>
    <t>INV-1165</t>
  </si>
  <si>
    <t>INV-1232</t>
  </si>
  <si>
    <t>INV-1125</t>
  </si>
  <si>
    <t>INV-1023</t>
  </si>
  <si>
    <t>INV-1043</t>
  </si>
  <si>
    <t>INV-1018</t>
  </si>
  <si>
    <t>INV-1252</t>
  </si>
  <si>
    <t>INV-1229</t>
  </si>
  <si>
    <t>INV-1026</t>
  </si>
  <si>
    <t>INV-1014</t>
  </si>
  <si>
    <t>INV-1077</t>
  </si>
  <si>
    <t>INV-1012</t>
  </si>
  <si>
    <t>INV-1029</t>
  </si>
  <si>
    <t>INV-1212</t>
  </si>
  <si>
    <t>INV-1044</t>
  </si>
  <si>
    <t>INV-1092</t>
  </si>
  <si>
    <t>INV-1116</t>
  </si>
  <si>
    <t>INV-1255</t>
  </si>
  <si>
    <t>INV-1076</t>
  </si>
  <si>
    <t>INV-1082</t>
  </si>
  <si>
    <t>INV-1211</t>
  </si>
  <si>
    <t>INV-1059</t>
  </si>
  <si>
    <t>INV-1117</t>
  </si>
  <si>
    <t>INV-1213</t>
  </si>
  <si>
    <t>INV-1226</t>
  </si>
  <si>
    <t>INV-1227</t>
  </si>
  <si>
    <t>INV-1236</t>
  </si>
  <si>
    <t>INV-1205</t>
  </si>
  <si>
    <t>INV-1250</t>
  </si>
  <si>
    <t>INV-1218</t>
  </si>
  <si>
    <t>INV-1133</t>
  </si>
  <si>
    <t>INV-1147</t>
  </si>
  <si>
    <t>INV-1050</t>
  </si>
  <si>
    <t>INV-1033</t>
  </si>
  <si>
    <t>INV-1108</t>
  </si>
  <si>
    <t>INV-1155</t>
  </si>
  <si>
    <t>INV-1004</t>
  </si>
  <si>
    <t>INV-1005</t>
  </si>
  <si>
    <t>INV-1199</t>
  </si>
  <si>
    <t>INV-1251</t>
  </si>
  <si>
    <t>INV-1045</t>
  </si>
  <si>
    <t>INV-1046</t>
  </si>
  <si>
    <t>INV-1142</t>
  </si>
  <si>
    <t>INV-1080</t>
  </si>
  <si>
    <t>INV-1196</t>
  </si>
  <si>
    <t>INV-1160</t>
  </si>
  <si>
    <t>INV-1070</t>
  </si>
  <si>
    <t>INV-1122</t>
  </si>
  <si>
    <t>INV-1185</t>
  </si>
  <si>
    <t>INV-1207</t>
  </si>
  <si>
    <t>INV-1173</t>
  </si>
  <si>
    <t>INV-1248</t>
  </si>
  <si>
    <t>INV-1223</t>
  </si>
  <si>
    <t>INV-1087</t>
  </si>
  <si>
    <t>INV-1217</t>
  </si>
  <si>
    <t>INV-1152</t>
  </si>
  <si>
    <t>INV-1149</t>
  </si>
  <si>
    <t>INV-1085</t>
  </si>
  <si>
    <t>INV-1097</t>
  </si>
  <si>
    <t>INV-1150</t>
  </si>
  <si>
    <t>INV-1240</t>
  </si>
  <si>
    <t>INV-1028</t>
  </si>
  <si>
    <t>INV-1078</t>
  </si>
  <si>
    <t>INV-1096</t>
  </si>
  <si>
    <t>INV-1139</t>
  </si>
  <si>
    <t>INV-1198</t>
  </si>
  <si>
    <t>INV-1258</t>
  </si>
  <si>
    <t>INV-1055</t>
  </si>
  <si>
    <t>INV-1119</t>
  </si>
  <si>
    <t>INV-1137</t>
  </si>
  <si>
    <t>INV-1176</t>
  </si>
  <si>
    <t>INV-1067</t>
  </si>
  <si>
    <t>INV-1188</t>
  </si>
  <si>
    <t>INV-1189</t>
  </si>
  <si>
    <t>INV-1021</t>
  </si>
  <si>
    <t>INV-1027</t>
  </si>
  <si>
    <t>INV-1040</t>
  </si>
  <si>
    <t>INV-1145</t>
  </si>
  <si>
    <t>INV-1127</t>
  </si>
  <si>
    <t>INV-1259</t>
  </si>
  <si>
    <t>INV-1034</t>
  </si>
  <si>
    <t>INV-1009</t>
  </si>
  <si>
    <t>INV-1169</t>
  </si>
  <si>
    <t>INV-1057</t>
  </si>
  <si>
    <t>INV-1075</t>
  </si>
  <si>
    <t>INV-1025</t>
  </si>
  <si>
    <t>INV-1107</t>
  </si>
  <si>
    <t>INV-1222</t>
  </si>
  <si>
    <t>INV-1024</t>
  </si>
  <si>
    <t>INV-1257</t>
  </si>
  <si>
    <t>INV-1062</t>
  </si>
  <si>
    <t>INV-1146</t>
  </si>
  <si>
    <t>INV-1039</t>
  </si>
  <si>
    <t>INV-1134</t>
  </si>
  <si>
    <t>INV-1235</t>
  </si>
  <si>
    <t>INV-1105</t>
  </si>
  <si>
    <t>INV-1256</t>
  </si>
  <si>
    <t>INV-1193</t>
  </si>
  <si>
    <t>INV-1159</t>
  </si>
  <si>
    <t>INV-1073</t>
  </si>
  <si>
    <t>INV-1102</t>
  </si>
  <si>
    <t>INV-1164</t>
  </si>
  <si>
    <t>INV-1237</t>
  </si>
  <si>
    <t>INV-1216</t>
  </si>
  <si>
    <t>INV-1244</t>
  </si>
  <si>
    <t>INV-1106</t>
  </si>
  <si>
    <t>INV-1132</t>
  </si>
  <si>
    <t>INV-1168</t>
  </si>
  <si>
    <t>INV-1035</t>
  </si>
  <si>
    <t>INV-1049</t>
  </si>
  <si>
    <t>INV-1063</t>
  </si>
  <si>
    <t>INV-1103</t>
  </si>
  <si>
    <t>INV-1247</t>
  </si>
  <si>
    <t>INV-1041</t>
  </si>
  <si>
    <t>INV-1135</t>
  </si>
  <si>
    <t>INV-1175</t>
  </si>
  <si>
    <t>INV-1006</t>
  </si>
  <si>
    <t>INV-1197</t>
  </si>
  <si>
    <t>INV-1129</t>
  </si>
  <si>
    <t>INV-1144</t>
  </si>
  <si>
    <t>INV-1191</t>
  </si>
  <si>
    <t>INV-1032</t>
  </si>
  <si>
    <t>INV-1115</t>
  </si>
  <si>
    <t>INV-1158</t>
  </si>
  <si>
    <t>INV-1084</t>
  </si>
  <si>
    <t>INV-1071</t>
  </si>
  <si>
    <t>INV-1177</t>
  </si>
  <si>
    <t>INV-1254</t>
  </si>
  <si>
    <t>INV-1209</t>
  </si>
  <si>
    <t>INV-1052</t>
  </si>
  <si>
    <t>INV-1112</t>
  </si>
  <si>
    <t>INV-1002</t>
  </si>
  <si>
    <t>INV-1202</t>
  </si>
  <si>
    <t>INV-1163</t>
  </si>
  <si>
    <t>INV-1130</t>
  </si>
  <si>
    <t>INV-1219</t>
  </si>
  <si>
    <t>INV-1260</t>
  </si>
  <si>
    <t>INV-1093</t>
  </si>
  <si>
    <t>INV-1048</t>
  </si>
  <si>
    <t>INV-1206</t>
  </si>
  <si>
    <t>INV-1088</t>
  </si>
  <si>
    <t>INV-1224</t>
  </si>
  <si>
    <t>INV-1157</t>
  </si>
  <si>
    <t>INV-1098</t>
  </si>
  <si>
    <t>INV-1118</t>
  </si>
  <si>
    <t>INV-1204</t>
  </si>
  <si>
    <t>INV-1220</t>
  </si>
  <si>
    <t>INV-1182</t>
  </si>
  <si>
    <t>INV-1095</t>
  </si>
  <si>
    <t>INV-1201</t>
  </si>
  <si>
    <t>INV-1153</t>
  </si>
  <si>
    <t>INV-1184</t>
  </si>
  <si>
    <t>INV-1003</t>
  </si>
  <si>
    <t>INV-1068</t>
  </si>
  <si>
    <t>INV-1124</t>
  </si>
  <si>
    <t>INV-1231</t>
  </si>
  <si>
    <t>INV-1011</t>
  </si>
  <si>
    <t>INV-1126</t>
  </si>
  <si>
    <t>INV-1136</t>
  </si>
  <si>
    <t>INV-1140</t>
  </si>
  <si>
    <t>INV-1053</t>
  </si>
  <si>
    <t>INV-1007</t>
  </si>
  <si>
    <t>INV-1166</t>
  </si>
  <si>
    <t>INV-1079</t>
  </si>
  <si>
    <t>INV-1242</t>
  </si>
  <si>
    <t>INV-1195</t>
  </si>
  <si>
    <t>INV-1064</t>
  </si>
  <si>
    <t>INV-1051</t>
  </si>
  <si>
    <t>INV-1113</t>
  </si>
  <si>
    <t>INV-1111</t>
  </si>
  <si>
    <t>INV-1090</t>
  </si>
  <si>
    <t>INV-1089</t>
  </si>
  <si>
    <t>INV-1081</t>
  </si>
  <si>
    <t>INV-1114</t>
  </si>
  <si>
    <t>INV-1151</t>
  </si>
  <si>
    <t>INV-1186</t>
  </si>
  <si>
    <t>INV-1060</t>
  </si>
  <si>
    <t>INV-1072</t>
  </si>
  <si>
    <t>INV-1174</t>
  </si>
  <si>
    <t>INV-1104</t>
  </si>
  <si>
    <t>INV-1225</t>
  </si>
  <si>
    <t>INV-1243</t>
  </si>
  <si>
    <t>INV-1074</t>
  </si>
  <si>
    <t>Outstanding_Balance</t>
  </si>
  <si>
    <t>Days_to_Pay</t>
  </si>
  <si>
    <t>Days_Past_Due</t>
  </si>
  <si>
    <t>Aging_Bucket</t>
  </si>
  <si>
    <t>Month</t>
  </si>
  <si>
    <t>Year_Month</t>
  </si>
  <si>
    <t>Row Labels</t>
  </si>
  <si>
    <t>2025-03</t>
  </si>
  <si>
    <t>2025-04</t>
  </si>
  <si>
    <t>2025-05</t>
  </si>
  <si>
    <t>2025-06</t>
  </si>
  <si>
    <t>2025-07</t>
  </si>
  <si>
    <t>2025-09</t>
  </si>
  <si>
    <t>2025-10</t>
  </si>
  <si>
    <t>2025-12</t>
  </si>
  <si>
    <t>Grand Total</t>
  </si>
  <si>
    <t>Sum of Billed_Amount</t>
  </si>
  <si>
    <t>Sum of Paid_Amount</t>
  </si>
  <si>
    <t>31-60</t>
  </si>
  <si>
    <t>90+</t>
  </si>
  <si>
    <t>Sum of Outstanding_Balance</t>
  </si>
  <si>
    <t>Count of Invoice_ID</t>
  </si>
  <si>
    <t xml:space="preserve">Total Billed </t>
  </si>
  <si>
    <t>Total Paid</t>
  </si>
  <si>
    <t xml:space="preserve">Outstanding </t>
  </si>
  <si>
    <t xml:space="preserve">Collection Rate </t>
  </si>
  <si>
    <t xml:space="preserve">Avg Days to Pay </t>
  </si>
  <si>
    <t xml:space="preserve">Unpaid Invoices </t>
  </si>
  <si>
    <t>$ Past Due 30+</t>
  </si>
  <si>
    <t>Exception Rate</t>
  </si>
  <si>
    <t>Average of Days_to_Pay</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</si>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</sst>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16" fillId="0" borderId="0" xfId="0"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18" fillId="0" borderId="0" xfId="0" applyFont="1"/>
    <xf numFmtId="10" fontId="18" fillId="0" borderId="0" xfId="0" applyNumberFormat="1" applyFont="1"/>
    <xf numFmtId="164" fontId="18" fillId="0" borderId="0" xfId="0" applyNumberFormat="1" applyFont="1"/>
    <xf numFmtId="167"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8">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b/>
        <i val="0"/>
        <strike val="0"/>
        <condense val="0"/>
        <extend val="0"/>
        <outline val="0"/>
        <shadow val="0"/>
        <u val="none"/>
        <vertAlign val="baseline"/>
        <sz val="11"/>
        <color theme="1"/>
        <name val="Aptos Narrow"/>
        <family val="2"/>
        <scheme val="minor"/>
      </font>
    </dxf>
    <dxf>
      <numFmt numFmtId="1" formatCode="0"/>
    </dxf>
    <dxf>
      <numFmt numFmtId="1" formatCode="0"/>
    </dxf>
    <dxf>
      <numFmt numFmtId="164" formatCode="&quot;$&quot;#,##0.00"/>
    </dxf>
    <dxf>
      <numFmt numFmtId="19" formatCode="m/d/yyyy"/>
    </dxf>
    <dxf>
      <numFmt numFmtId="19" formatCode="m/d/yyyy"/>
    </dxf>
    <dxf>
      <numFmt numFmtId="19" formatCode="m/d/yyyy"/>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[revenue-billing-kpi-dashboard-excel.xlsx]Pivot_Tables!PivotTable2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Outstanding Balance by Aging Bucket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Pivot_Tables!$F$11</c:f>
              <c:strCache>
                <c:ptCount val="1"/>
                <c:pt idx="0">
                  <c:v>Total</c:v>
                </c:pt>
              </c:strCache>
            </c:strRef>
          </c:tx>
          <c:spPr>
            <a:solidFill>
              <a:schemeClr val="accent1"/>
            </a:solidFill>
            <a:ln>
              <a:noFill/>
            </a:ln>
            <a:effectLst/>
          </c:spPr>
          <c:invertIfNegative val="0"/>
          <c:cat>
            <c:strRef>
              <c:f>Pivot_Tables!$E$12:$E$14</c:f>
              <c:strCache>
                <c:ptCount val="2"/>
                <c:pt idx="0">
                  <c:v>31-60</c:v>
                </c:pt>
                <c:pt idx="1">
                  <c:v>90+</c:v>
                </c:pt>
              </c:strCache>
            </c:strRef>
          </c:cat>
          <c:val>
            <c:numRef>
              <c:f>Pivot_Tables!$F$12:$F$14</c:f>
              <c:numCache>
                <c:formatCode>"$"#,##0.00</c:formatCode>
                <c:ptCount val="2"/>
                <c:pt idx="0">
                  <c:v>641.42000000000007</c:v>
                </c:pt>
                <c:pt idx="1">
                  <c:v>21773.87</c:v>
                </c:pt>
              </c:numCache>
            </c:numRef>
          </c:val>
          <c:extLst>
            <c:ext xmlns:c16="http://schemas.microsoft.com/office/drawing/2014/chart" uri="{C3380CC4-5D6E-409C-BE32-E72D297353CC}">
              <c16:uniqueId val="{00000000-D3B9-49F7-85DE-161CDA0C43B3}"/>
            </c:ext>
          </c:extLst>
        </c:ser>
        <c:dLbls>
          <c:showLegendKey val="0"/>
          <c:showVal val="0"/>
          <c:showCatName val="0"/>
          <c:showSerName val="0"/>
          <c:showPercent val="0"/>
          <c:showBubbleSize val="0"/>
        </c:dLbls>
        <c:gapWidth val="182"/>
        <c:axId val="577739455"/>
        <c:axId val="577737535"/>
      </c:barChart>
      <c:catAx>
        <c:axId val="57773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37535"/>
        <c:crosses val="autoZero"/>
        <c:auto val="1"/>
        <c:lblAlgn val="ctr"/>
        <c:lblOffset val="100"/>
        <c:noMultiLvlLbl val="0"/>
      </c:catAx>
      <c:valAx>
        <c:axId val="5777375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3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[revenue-billing-kpi-dashboard-excel.xlsx]Pivot_Tables!PivotTable10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Exceptions by Reason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c:f>
              <c:strCache>
                <c:ptCount val="1"/>
                <c:pt idx="0">
                  <c:v>Total</c:v>
                </c:pt>
              </c:strCache>
            </c:strRef>
          </c:tx>
          <c:spPr>
            <a:solidFill>
              <a:schemeClr val="accent1"/>
            </a:solidFill>
            <a:ln>
              <a:noFill/>
            </a:ln>
            <a:effectLst/>
          </c:spPr>
          <c:invertIfNegative val="0"/>
          <c:cat>
            <c:strRef>
              <c:f>Pivot_Tables!$E$2:$E$6</c:f>
              <c:strCache>
                <c:ptCount val="4"/>
                <c:pt idx="0">
                  <c:v>Coding issue</c:v>
                </c:pt>
                <c:pt idx="1">
                  <c:v>Late payment</c:v>
                </c:pt>
                <c:pt idx="2">
                  <c:v>Missing info</c:v>
                </c:pt>
                <c:pt idx="3">
                  <c:v>Underpayment</c:v>
                </c:pt>
              </c:strCache>
            </c:strRef>
          </c:cat>
          <c:val>
            <c:numRef>
              <c:f>Pivot_Tables!$F$2:$F$6</c:f>
              <c:numCache>
                <c:formatCode>General</c:formatCode>
                <c:ptCount val="4"/>
                <c:pt idx="0">
                  <c:v>1</c:v>
                </c:pt>
                <c:pt idx="1">
                  <c:v>2</c:v>
                </c:pt>
                <c:pt idx="2">
                  <c:v>2</c:v>
                </c:pt>
                <c:pt idx="3">
                  <c:v>1</c:v>
                </c:pt>
              </c:numCache>
            </c:numRef>
          </c:val>
          <c:extLst>
            <c:ext xmlns:c16="http://schemas.microsoft.com/office/drawing/2014/chart" uri="{C3380CC4-5D6E-409C-BE32-E72D297353CC}">
              <c16:uniqueId val="{00000000-59F7-4BAE-986C-A7B809AACD0B}"/>
            </c:ext>
          </c:extLst>
        </c:ser>
        <c:dLbls>
          <c:showLegendKey val="0"/>
          <c:showVal val="0"/>
          <c:showCatName val="0"/>
          <c:showSerName val="0"/>
          <c:showPercent val="0"/>
          <c:showBubbleSize val="0"/>
        </c:dLbls>
        <c:gapWidth val="182"/>
        <c:axId val="1112586207"/>
        <c:axId val="1112582847"/>
      </c:barChart>
      <c:catAx>
        <c:axId val="111258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582847"/>
        <c:crosses val="autoZero"/>
        <c:auto val="1"/>
        <c:lblAlgn val="ctr"/>
        <c:lblOffset val="100"/>
        <c:noMultiLvlLbl val="0"/>
      </c:catAx>
      <c:valAx>
        <c:axId val="111258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58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[revenue-billing-kpi-dashboard-excel.xlsx]Pivot_Tables!PivotTable11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Billed vs Paid by Service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Pivot_Tables!$B$16</c:f>
              <c:strCache>
                <c:ptCount val="1"/>
                <c:pt idx="0">
                  <c:v>Sum of Billed_Amount</c:v>
                </c:pt>
              </c:strCache>
            </c:strRef>
          </c:tx>
          <c:spPr>
            <a:solidFill>
              <a:schemeClr val="accent1"/>
            </a:solidFill>
            <a:ln>
              <a:noFill/>
            </a:ln>
            <a:effectLst/>
          </c:spPr>
          <c:invertIfNegative val="0"/>
          <c:cat>
            <c:strRef>
              <c:f>Pivot_Tables!$A$17:$A$22</c:f>
              <c:strCache>
                <c:ptCount val="5"/>
                <c:pt idx="0">
                  <c:v>Billing Support</c:v>
                </c:pt>
                <c:pt idx="1">
                  <c:v>Claims Review</c:v>
                </c:pt>
                <c:pt idx="2">
                  <c:v>Imaging</c:v>
                </c:pt>
                <c:pt idx="3">
                  <c:v>Lab Services</c:v>
                </c:pt>
                <c:pt idx="4">
                  <c:v>RCM Consulting</c:v>
                </c:pt>
              </c:strCache>
            </c:strRef>
          </c:cat>
          <c:val>
            <c:numRef>
              <c:f>Pivot_Tables!$B$17:$B$22</c:f>
              <c:numCache>
                <c:formatCode>"$"#,##0.00</c:formatCode>
                <c:ptCount val="5"/>
                <c:pt idx="0">
                  <c:v>6234.32</c:v>
                </c:pt>
                <c:pt idx="1">
                  <c:v>8168.7300000000005</c:v>
                </c:pt>
                <c:pt idx="2">
                  <c:v>13007.86</c:v>
                </c:pt>
                <c:pt idx="3">
                  <c:v>1529.33</c:v>
                </c:pt>
                <c:pt idx="4">
                  <c:v>12572.619999999999</c:v>
                </c:pt>
              </c:numCache>
            </c:numRef>
          </c:val>
          <c:extLst>
            <c:ext xmlns:c16="http://schemas.microsoft.com/office/drawing/2014/chart" uri="{C3380CC4-5D6E-409C-BE32-E72D297353CC}">
              <c16:uniqueId val="{00000000-E962-4725-80E8-B8DF42828D7F}"/>
            </c:ext>
          </c:extLst>
        </c:ser>
        <c:ser>
          <c:idx val="1"/>
          <c:order val="1"/>
          <c:tx>
            <c:strRef>
              <c:f>Pivot_Tables!$C$16</c:f>
              <c:strCache>
                <c:ptCount val="1"/>
                <c:pt idx="0">
                  <c:v>Sum of Paid_Amount</c:v>
                </c:pt>
              </c:strCache>
            </c:strRef>
          </c:tx>
          <c:spPr>
            <a:solidFill>
              <a:schemeClr val="accent2"/>
            </a:solidFill>
            <a:ln>
              <a:noFill/>
            </a:ln>
            <a:effectLst/>
          </c:spPr>
          <c:invertIfNegative val="0"/>
          <c:cat>
            <c:strRef>
              <c:f>Pivot_Tables!$A$17:$A$22</c:f>
              <c:strCache>
                <c:ptCount val="5"/>
                <c:pt idx="0">
                  <c:v>Billing Support</c:v>
                </c:pt>
                <c:pt idx="1">
                  <c:v>Claims Review</c:v>
                </c:pt>
                <c:pt idx="2">
                  <c:v>Imaging</c:v>
                </c:pt>
                <c:pt idx="3">
                  <c:v>Lab Services</c:v>
                </c:pt>
                <c:pt idx="4">
                  <c:v>RCM Consulting</c:v>
                </c:pt>
              </c:strCache>
            </c:strRef>
          </c:cat>
          <c:val>
            <c:numRef>
              <c:f>Pivot_Tables!$C$17:$C$22</c:f>
              <c:numCache>
                <c:formatCode>"$"#,##0.00</c:formatCode>
                <c:ptCount val="5"/>
                <c:pt idx="0">
                  <c:v>3811.0099999999998</c:v>
                </c:pt>
                <c:pt idx="1">
                  <c:v>3933.4800000000005</c:v>
                </c:pt>
                <c:pt idx="2">
                  <c:v>6795.58</c:v>
                </c:pt>
                <c:pt idx="3">
                  <c:v>942.61</c:v>
                </c:pt>
                <c:pt idx="4">
                  <c:v>3614.8900000000003</c:v>
                </c:pt>
              </c:numCache>
            </c:numRef>
          </c:val>
          <c:extLst>
            <c:ext xmlns:c16="http://schemas.microsoft.com/office/drawing/2014/chart" uri="{C3380CC4-5D6E-409C-BE32-E72D297353CC}">
              <c16:uniqueId val="{00000001-E962-4725-80E8-B8DF42828D7F}"/>
            </c:ext>
          </c:extLst>
        </c:ser>
        <c:dLbls>
          <c:showLegendKey val="0"/>
          <c:showVal val="0"/>
          <c:showCatName val="0"/>
          <c:showSerName val="0"/>
          <c:showPercent val="0"/>
          <c:showBubbleSize val="0"/>
        </c:dLbls>
        <c:gapWidth val="219"/>
        <c:overlap val="-27"/>
        <c:axId val="1045231871"/>
        <c:axId val="1045232351"/>
      </c:barChart>
      <c:catAx>
        <c:axId val="104523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32351"/>
        <c:crosses val="autoZero"/>
        <c:auto val="1"/>
        <c:lblAlgn val="ctr"/>
        <c:lblOffset val="100"/>
        <c:noMultiLvlLbl val="0"/>
      </c:catAx>
      <c:valAx>
        <c:axId val="1045232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3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[revenue-billing-kpi-dashboard-excel.xlsx]Pivot_Tables!PivotTable12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Summary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Pivot_Tables!$B$25</c:f>
              <c:strCache>
                <c:ptCount val="1"/>
                <c:pt idx="0">
                  <c:v>Sum of Billed_Amount</c:v>
                </c:pt>
              </c:strCache>
            </c:strRef>
          </c:tx>
          <c:spPr>
            <a:solidFill>
              <a:schemeClr val="accent1"/>
            </a:solidFill>
            <a:ln>
              <a:noFill/>
            </a:ln>
            <a:effectLst/>
          </c:spPr>
          <c:invertIfNegative val="0"/>
          <c:cat>
            <c:strRef>
              <c:f>Pivot_Tables!$A$26:$A$27</c:f>
              <c:strCache>
                <c:ptCount val="1"/>
                <c:pt idx="0">
                  <c:v>West</c:v>
                </c:pt>
              </c:strCache>
            </c:strRef>
          </c:cat>
          <c:val>
            <c:numRef>
              <c:f>Pivot_Tables!$B$26:$B$27</c:f>
              <c:numCache>
                <c:formatCode>"$"#,##0.00</c:formatCode>
                <c:ptCount val="1"/>
                <c:pt idx="0">
                  <c:v>41512.859999999993</c:v>
                </c:pt>
              </c:numCache>
            </c:numRef>
          </c:val>
          <c:extLst>
            <c:ext xmlns:c16="http://schemas.microsoft.com/office/drawing/2014/chart" uri="{C3380CC4-5D6E-409C-BE32-E72D297353CC}">
              <c16:uniqueId val="{00000000-60E8-47CA-AA3A-F52D2F290476}"/>
            </c:ext>
          </c:extLst>
        </c:ser>
        <c:ser>
          <c:idx val="1"/>
          <c:order val="1"/>
          <c:tx>
            <c:strRef>
              <c:f>Pivot_Tables!$C$25</c:f>
              <c:strCache>
                <c:ptCount val="1"/>
                <c:pt idx="0">
                  <c:v>Sum of Paid_Amount</c:v>
                </c:pt>
              </c:strCache>
            </c:strRef>
          </c:tx>
          <c:spPr>
            <a:solidFill>
              <a:schemeClr val="accent2"/>
            </a:solidFill>
            <a:ln>
              <a:noFill/>
            </a:ln>
            <a:effectLst/>
          </c:spPr>
          <c:invertIfNegative val="0"/>
          <c:cat>
            <c:strRef>
              <c:f>Pivot_Tables!$A$26:$A$27</c:f>
              <c:strCache>
                <c:ptCount val="1"/>
                <c:pt idx="0">
                  <c:v>West</c:v>
                </c:pt>
              </c:strCache>
            </c:strRef>
          </c:cat>
          <c:val>
            <c:numRef>
              <c:f>Pivot_Tables!$C$26:$C$27</c:f>
              <c:numCache>
                <c:formatCode>"$"#,##0.00</c:formatCode>
                <c:ptCount val="1"/>
                <c:pt idx="0">
                  <c:v>19097.570000000003</c:v>
                </c:pt>
              </c:numCache>
            </c:numRef>
          </c:val>
          <c:extLst>
            <c:ext xmlns:c16="http://schemas.microsoft.com/office/drawing/2014/chart" uri="{C3380CC4-5D6E-409C-BE32-E72D297353CC}">
              <c16:uniqueId val="{00000001-60E8-47CA-AA3A-F52D2F290476}"/>
            </c:ext>
          </c:extLst>
        </c:ser>
        <c:dLbls>
          <c:showLegendKey val="0"/>
          <c:showVal val="0"/>
          <c:showCatName val="0"/>
          <c:showSerName val="0"/>
          <c:showPercent val="0"/>
          <c:showBubbleSize val="0"/>
        </c:dLbls>
        <c:gapWidth val="219"/>
        <c:overlap val="-27"/>
        <c:axId val="1045196831"/>
        <c:axId val="1045197311"/>
      </c:barChart>
      <c:catAx>
        <c:axId val="104519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197311"/>
        <c:crosses val="autoZero"/>
        <c:auto val="1"/>
        <c:lblAlgn val="ctr"/>
        <c:lblOffset val="100"/>
        <c:noMultiLvlLbl val="0"/>
      </c:catAx>
      <c:valAx>
        <c:axId val="1045197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19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[revenue-billing-kpi-dashboard-excel.xlsx]Pivot_Tables!PivotTable1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Billed vs Paid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Sum of Billed_Amount</c:v>
                </c:pt>
              </c:strCache>
            </c:strRef>
          </c:tx>
          <c:spPr>
            <a:ln w="28575" cap="rnd">
              <a:solidFill>
                <a:schemeClr val="accent1"/>
              </a:solidFill>
              <a:round/>
            </a:ln>
            <a:effectLst/>
          </c:spPr>
          <c:marker>
            <c:symbol val="none"/>
          </c:marker>
          <c:cat>
            <c:strRef>
              <c:f>Pivot_Tables!$A$2:$A$10</c:f>
              <c:strCache>
                <c:ptCount val="8"/>
                <c:pt idx="0">
                  <c:v>2025-03</c:v>
                </c:pt>
                <c:pt idx="1">
                  <c:v>2025-04</c:v>
                </c:pt>
                <c:pt idx="2">
                  <c:v>2025-05</c:v>
                </c:pt>
                <c:pt idx="3">
                  <c:v>2025-06</c:v>
                </c:pt>
                <c:pt idx="4">
                  <c:v>2025-07</c:v>
                </c:pt>
                <c:pt idx="5">
                  <c:v>2025-09</c:v>
                </c:pt>
                <c:pt idx="6">
                  <c:v>2025-10</c:v>
                </c:pt>
                <c:pt idx="7">
                  <c:v>2025-12</c:v>
                </c:pt>
              </c:strCache>
            </c:strRef>
          </c:cat>
          <c:val>
            <c:numRef>
              <c:f>Pivot_Tables!$B$2:$B$10</c:f>
              <c:numCache>
                <c:formatCode>"$"#,##0.00</c:formatCode>
                <c:ptCount val="8"/>
                <c:pt idx="0">
                  <c:v>2659.04</c:v>
                </c:pt>
                <c:pt idx="1">
                  <c:v>6589.59</c:v>
                </c:pt>
                <c:pt idx="2">
                  <c:v>5036.4400000000005</c:v>
                </c:pt>
                <c:pt idx="3">
                  <c:v>5985.87</c:v>
                </c:pt>
                <c:pt idx="4">
                  <c:v>6735.42</c:v>
                </c:pt>
                <c:pt idx="5">
                  <c:v>10968.76</c:v>
                </c:pt>
                <c:pt idx="6">
                  <c:v>1515.35</c:v>
                </c:pt>
                <c:pt idx="7">
                  <c:v>2022.39</c:v>
                </c:pt>
              </c:numCache>
            </c:numRef>
          </c:val>
          <c:smooth val="0"/>
          <c:extLst>
            <c:ext xmlns:c16="http://schemas.microsoft.com/office/drawing/2014/chart" uri="{C3380CC4-5D6E-409C-BE32-E72D297353CC}">
              <c16:uniqueId val="{00000000-15EE-419E-BAD7-B8E7098306B2}"/>
            </c:ext>
          </c:extLst>
        </c:ser>
        <c:ser>
          <c:idx val="1"/>
          <c:order val="1"/>
          <c:tx>
            <c:strRef>
              <c:f>Pivot_Tables!$C$1</c:f>
              <c:strCache>
                <c:ptCount val="1"/>
                <c:pt idx="0">
                  <c:v>Sum of Paid_Amount</c:v>
                </c:pt>
              </c:strCache>
            </c:strRef>
          </c:tx>
          <c:spPr>
            <a:ln w="28575" cap="rnd">
              <a:solidFill>
                <a:schemeClr val="accent2"/>
              </a:solidFill>
              <a:round/>
            </a:ln>
            <a:effectLst/>
          </c:spPr>
          <c:marker>
            <c:symbol val="none"/>
          </c:marker>
          <c:cat>
            <c:strRef>
              <c:f>Pivot_Tables!$A$2:$A$10</c:f>
              <c:strCache>
                <c:ptCount val="8"/>
                <c:pt idx="0">
                  <c:v>2025-03</c:v>
                </c:pt>
                <c:pt idx="1">
                  <c:v>2025-04</c:v>
                </c:pt>
                <c:pt idx="2">
                  <c:v>2025-05</c:v>
                </c:pt>
                <c:pt idx="3">
                  <c:v>2025-06</c:v>
                </c:pt>
                <c:pt idx="4">
                  <c:v>2025-07</c:v>
                </c:pt>
                <c:pt idx="5">
                  <c:v>2025-09</c:v>
                </c:pt>
                <c:pt idx="6">
                  <c:v>2025-10</c:v>
                </c:pt>
                <c:pt idx="7">
                  <c:v>2025-12</c:v>
                </c:pt>
              </c:strCache>
            </c:strRef>
          </c:cat>
          <c:val>
            <c:numRef>
              <c:f>Pivot_Tables!$C$2:$C$10</c:f>
              <c:numCache>
                <c:formatCode>"$"#,##0.00</c:formatCode>
                <c:ptCount val="8"/>
                <c:pt idx="0">
                  <c:v>888.34</c:v>
                </c:pt>
                <c:pt idx="1">
                  <c:v>2632.67</c:v>
                </c:pt>
                <c:pt idx="2">
                  <c:v>2839.11</c:v>
                </c:pt>
                <c:pt idx="3">
                  <c:v>1600.45</c:v>
                </c:pt>
                <c:pt idx="4">
                  <c:v>4914.87</c:v>
                </c:pt>
                <c:pt idx="5">
                  <c:v>4407.2700000000004</c:v>
                </c:pt>
                <c:pt idx="6">
                  <c:v>433.89</c:v>
                </c:pt>
                <c:pt idx="7">
                  <c:v>1380.97</c:v>
                </c:pt>
              </c:numCache>
            </c:numRef>
          </c:val>
          <c:smooth val="0"/>
          <c:extLst>
            <c:ext xmlns:c16="http://schemas.microsoft.com/office/drawing/2014/chart" uri="{C3380CC4-5D6E-409C-BE32-E72D297353CC}">
              <c16:uniqueId val="{00000001-15EE-419E-BAD7-B8E7098306B2}"/>
            </c:ext>
          </c:extLst>
        </c:ser>
        <c:dLbls>
          <c:showLegendKey val="0"/>
          <c:showVal val="0"/>
          <c:showCatName val="0"/>
          <c:showSerName val="0"/>
          <c:showPercent val="0"/>
          <c:showBubbleSize val="0"/>
        </c:dLbls>
        <c:smooth val="0"/>
        <c:axId val="170089599"/>
        <c:axId val="170086239"/>
      </c:lineChart>
      <c:catAx>
        <c:axId val="1700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6239"/>
        <c:crosses val="autoZero"/>
        <c:auto val="1"/>
        <c:lblAlgn val="ctr"/>
        <c:lblOffset val="100"/>
        <c:noMultiLvlLbl val="0"/>
      </c:catAx>
      <c:valAx>
        <c:axId val="170086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289691</xdr:colOff>
      <xdr:row>4</xdr:row>
      <xdr:rowOff>95250</xdr:rowOff>
    </xdr:from>
    <xdr:to>
      <xdr:col>14</xdr:col>
      <xdr:colOff>584638</xdr:colOff>
      <xdr:row>19</xdr:row>
      <xdr:rowOff>60325</xdr:rowOff>
    </xdr:to>
    <xdr:graphicFrame macro="">
      <xdr:nvGraphicFramePr>
        <xdr:cNvPr id="4" name="Chart 3">
          <a:extLst>
            <a:ext uri="{FF2B5EF4-FFF2-40B4-BE49-F238E27FC236}">
              <a16:creationId xmlns:a16="http://schemas.microsoft.com/office/drawing/2014/main" id="{EFECDC82-34A5-4A76-916E-5A1DB709D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43793</xdr:colOff>
      <xdr:row>14</xdr:row>
      <xdr:rowOff>86163</xdr:rowOff>
    </xdr:from>
    <xdr:to>
      <xdr:col>21</xdr:col>
      <xdr:colOff>43793</xdr:colOff>
      <xdr:row>23</xdr:row>
      <xdr:rowOff>124263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7D714B1-8DB1-0DD0-1A20-9950624450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53543" y="2753163"/>
              <a:ext cx="180975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21896</xdr:colOff>
      <xdr:row>14</xdr:row>
      <xdr:rowOff>87585</xdr:rowOff>
    </xdr:from>
    <xdr:to>
      <xdr:col>18</xdr:col>
      <xdr:colOff>21896</xdr:colOff>
      <xdr:row>25</xdr:row>
      <xdr:rowOff>34815</xdr:rowOff>
    </xdr:to>
    <mc:AlternateContent xmlns:mc="http://schemas.openxmlformats.org/markup-compatibility/2006" xmlns:a14="http://schemas.microsoft.com/office/drawing/2010/main">
      <mc:Choice Requires="a14">
        <xdr:graphicFrame macro="">
          <xdr:nvGraphicFramePr>
            <xdr:cNvPr id="9" name="Service_Category">
              <a:extLst>
                <a:ext uri="{FF2B5EF4-FFF2-40B4-BE49-F238E27FC236}">
                  <a16:creationId xmlns:a16="http://schemas.microsoft.com/office/drawing/2014/main" id="{C2105821-FA28-3736-F0C7-ECF8C886FE0A}"/>
                </a:ext>
              </a:extLst>
            </xdr:cNvPr>
            <xdr:cNvGraphicFramePr/>
          </xdr:nvGraphicFramePr>
          <xdr:xfrm>
            <a:off x="0" y="0"/>
            <a:ext cx="0" cy="0"/>
          </xdr:xfrm>
          <a:graphic>
            <a:graphicData uri="http://schemas.microsoft.com/office/drawing/2010/slicer">
              <sle:slicer xmlns:sle="http://schemas.microsoft.com/office/drawing/2010/slicer" name="Service_Category"/>
            </a:graphicData>
          </a:graphic>
        </xdr:graphicFrame>
      </mc:Choice>
      <mc:Fallback xmlns="">
        <xdr:sp macro="" textlink="">
          <xdr:nvSpPr>
            <xdr:cNvPr id="0" name=""/>
            <xdr:cNvSpPr>
              <a:spLocks noTextEdit="1"/>
            </xdr:cNvSpPr>
          </xdr:nvSpPr>
          <xdr:spPr>
            <a:xfrm>
              <a:off x="12721896" y="2754585"/>
              <a:ext cx="1809750" cy="2042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32846</xdr:colOff>
      <xdr:row>23</xdr:row>
      <xdr:rowOff>112875</xdr:rowOff>
    </xdr:from>
    <xdr:to>
      <xdr:col>21</xdr:col>
      <xdr:colOff>32846</xdr:colOff>
      <xdr:row>30</xdr:row>
      <xdr:rowOff>36675</xdr:rowOff>
    </xdr:to>
    <mc:AlternateContent xmlns:mc="http://schemas.openxmlformats.org/markup-compatibility/2006" xmlns:a14="http://schemas.microsoft.com/office/drawing/2010/main">
      <mc:Choice Requires="a14">
        <xdr:graphicFrame macro="">
          <xdr:nvGraphicFramePr>
            <xdr:cNvPr id="10" name="Payment_Status">
              <a:extLst>
                <a:ext uri="{FF2B5EF4-FFF2-40B4-BE49-F238E27FC236}">
                  <a16:creationId xmlns:a16="http://schemas.microsoft.com/office/drawing/2014/main" id="{5EB8A6FD-C3B1-4138-4710-B7C822BA9E96}"/>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4542596" y="4494375"/>
              <a:ext cx="180975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19816</xdr:colOff>
      <xdr:row>25</xdr:row>
      <xdr:rowOff>58573</xdr:rowOff>
    </xdr:from>
    <xdr:to>
      <xdr:col>18</xdr:col>
      <xdr:colOff>19816</xdr:colOff>
      <xdr:row>30</xdr:row>
      <xdr:rowOff>49047</xdr:rowOff>
    </xdr:to>
    <mc:AlternateContent xmlns:mc="http://schemas.openxmlformats.org/markup-compatibility/2006" xmlns:a14="http://schemas.microsoft.com/office/drawing/2010/main">
      <mc:Choice Requires="a14">
        <xdr:graphicFrame macro="">
          <xdr:nvGraphicFramePr>
            <xdr:cNvPr id="11" name="Denial_or_Exception">
              <a:extLst>
                <a:ext uri="{FF2B5EF4-FFF2-40B4-BE49-F238E27FC236}">
                  <a16:creationId xmlns:a16="http://schemas.microsoft.com/office/drawing/2014/main" id="{15054DAA-C316-7592-EBDE-905F198A4282}"/>
                </a:ext>
              </a:extLst>
            </xdr:cNvPr>
            <xdr:cNvGraphicFramePr/>
          </xdr:nvGraphicFramePr>
          <xdr:xfrm>
            <a:off x="0" y="0"/>
            <a:ext cx="0" cy="0"/>
          </xdr:xfrm>
          <a:graphic>
            <a:graphicData uri="http://schemas.microsoft.com/office/drawing/2010/slicer">
              <sle:slicer xmlns:sle="http://schemas.microsoft.com/office/drawing/2010/slicer" name="Denial_or_Exception"/>
            </a:graphicData>
          </a:graphic>
        </xdr:graphicFrame>
      </mc:Choice>
      <mc:Fallback xmlns="">
        <xdr:sp macro="" textlink="">
          <xdr:nvSpPr>
            <xdr:cNvPr id="0" name=""/>
            <xdr:cNvSpPr>
              <a:spLocks noTextEdit="1"/>
            </xdr:cNvSpPr>
          </xdr:nvSpPr>
          <xdr:spPr>
            <a:xfrm>
              <a:off x="12719816" y="4821073"/>
              <a:ext cx="1809750"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54429</xdr:rowOff>
    </xdr:from>
    <xdr:to>
      <xdr:col>7</xdr:col>
      <xdr:colOff>285750</xdr:colOff>
      <xdr:row>31</xdr:row>
      <xdr:rowOff>130629</xdr:rowOff>
    </xdr:to>
    <xdr:graphicFrame macro="">
      <xdr:nvGraphicFramePr>
        <xdr:cNvPr id="2" name="Chart 1">
          <a:extLst>
            <a:ext uri="{FF2B5EF4-FFF2-40B4-BE49-F238E27FC236}">
              <a16:creationId xmlns:a16="http://schemas.microsoft.com/office/drawing/2014/main" id="{4A130D6E-E620-492E-AD67-7C3545D86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292554</xdr:colOff>
      <xdr:row>19</xdr:row>
      <xdr:rowOff>77107</xdr:rowOff>
    </xdr:from>
    <xdr:to>
      <xdr:col>14</xdr:col>
      <xdr:colOff>569233</xdr:colOff>
      <xdr:row>33</xdr:row>
      <xdr:rowOff>153307</xdr:rowOff>
    </xdr:to>
    <xdr:graphicFrame macro="">
      <xdr:nvGraphicFramePr>
        <xdr:cNvPr id="12" name="Chart 11">
          <a:extLst>
            <a:ext uri="{FF2B5EF4-FFF2-40B4-BE49-F238E27FC236}">
              <a16:creationId xmlns:a16="http://schemas.microsoft.com/office/drawing/2014/main" id="{18D2D2A9-D490-49AD-827F-DC993F822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0</xdr:row>
      <xdr:rowOff>0</xdr:rowOff>
    </xdr:from>
    <xdr:to>
      <xdr:col>22</xdr:col>
      <xdr:colOff>285750</xdr:colOff>
      <xdr:row>14</xdr:row>
      <xdr:rowOff>76200</xdr:rowOff>
    </xdr:to>
    <xdr:graphicFrame macro="">
      <xdr:nvGraphicFramePr>
        <xdr:cNvPr id="13" name="Chart 12">
          <a:extLst>
            <a:ext uri="{FF2B5EF4-FFF2-40B4-BE49-F238E27FC236}">
              <a16:creationId xmlns:a16="http://schemas.microsoft.com/office/drawing/2014/main" id="{782FACBB-EB38-4753-9F43-3B24EB18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174625</xdr:rowOff>
    </xdr:from>
    <xdr:to>
      <xdr:col>7</xdr:col>
      <xdr:colOff>308303</xdr:colOff>
      <xdr:row>17</xdr:row>
      <xdr:rowOff>60325</xdr:rowOff>
    </xdr:to>
    <xdr:graphicFrame macro="">
      <xdr:nvGraphicFramePr>
        <xdr:cNvPr id="3" name="Chart 2">
          <a:extLst>
            <a:ext uri="{FF2B5EF4-FFF2-40B4-BE49-F238E27FC236}">
              <a16:creationId xmlns:a16="http://schemas.microsoft.com/office/drawing/2014/main" id="{7B1E44F6-26C5-4FDB-A9D6-6A1E43B8F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 refreshedDate="46084.755427777774" createdVersion="8" refreshedVersion="8" minRefreshableVersion="3" recordCount="260" xr:uid="{9F83C3DC-3FED-4761-8F2C-C2FC68922FC3}">
  <cacheSource type="worksheet">
    <worksheetSource name="Table1"/>
  </cacheSource>
  <cacheFields count="19">
    <cacheField name="Invoice_ID" numFmtId="0">
      <sharedItems/>
    </cacheField>
    <cacheField name="Customer_Name" numFmtId="0">
      <sharedItems/>
    </cacheField>
    <cacheField name="Invoice_Date" numFmtId="14">
      <sharedItems containsSemiMixedTypes="0" containsNonDate="0" containsDate="1" containsString="0" minDate="2025-03-01T00:00:00" maxDate="2026-02-27T00:00:00"/>
    </cacheField>
    <cacheField name="Due_Date" numFmtId="14">
      <sharedItems containsSemiMixedTypes="0" containsNonDate="0" containsDate="1" containsString="0" minDate="2025-03-31T00:00:00" maxDate="2026-03-29T00:00:00"/>
    </cacheField>
    <cacheField name="Payment_Date" numFmtId="0">
      <sharedItems containsNonDate="0" containsDate="1" containsString="0" containsBlank="1" minDate="2025-03-16T00:00:00" maxDate="2026-04-24T00:00:00"/>
    </cacheField>
    <cacheField name="Region" numFmtId="0">
      <sharedItems count="5">
        <s v="Central"/>
        <s v="North"/>
        <s v="East"/>
        <s v="West"/>
        <s v="South"/>
      </sharedItems>
    </cacheField>
    <cacheField name="Service_Category" numFmtId="0">
      <sharedItems count="6">
        <s v="Billing Support"/>
        <s v="Revenue Audit"/>
        <s v="Claims Review"/>
        <s v="RCM Consulting"/>
        <s v="Imaging"/>
        <s v="Lab Services"/>
      </sharedItems>
    </cacheField>
    <cacheField name="Billed_Amount" numFmtId="0">
      <sharedItems containsSemiMixedTypes="0" containsString="0" containsNumber="1" minValue="342.85" maxValue="8943"/>
    </cacheField>
    <cacheField name="Paid_Amount" numFmtId="0">
      <sharedItems containsSemiMixedTypes="0" containsString="0" containsNumber="1" minValue="0" maxValue="8943"/>
    </cacheField>
    <cacheField name="Payment_Status" numFmtId="0">
      <sharedItems count="3">
        <s v="Unpaid"/>
        <s v="Paid"/>
        <s v="Partial"/>
      </sharedItems>
    </cacheField>
    <cacheField name="Denial_or_Exception" numFmtId="0">
      <sharedItems count="2">
        <s v="No"/>
        <s v="Yes"/>
      </sharedItems>
    </cacheField>
    <cacheField name="Exception_Reason" numFmtId="0">
      <sharedItems count="8">
        <s v="None"/>
        <s v="Eligibility issue"/>
        <s v="Denied claim"/>
        <s v="Coding issue"/>
        <s v="Missing info"/>
        <s v="Underpayment"/>
        <s v="Late payment"/>
        <s v="Duplicate invoice"/>
      </sharedItems>
    </cacheField>
    <cacheField name="Account_Manager" numFmtId="0">
      <sharedItems/>
    </cacheField>
    <cacheField name="Outstanding_Balance" numFmtId="164">
      <sharedItems containsSemiMixedTypes="0" containsString="0" containsNumber="1" minValue="0" maxValue="8061.77"/>
    </cacheField>
    <cacheField name="Days_to_Pay" numFmtId="1">
      <sharedItems containsMixedTypes="1" containsNumber="1" containsInteger="1" minValue="8" maxValue="74"/>
    </cacheField>
    <cacheField name="Days_Past_Due" numFmtId="1">
      <sharedItems containsSemiMixedTypes="0" containsString="0" containsNumber="1" containsInteger="1" minValue="-25" maxValue="337" count="85">
        <n v="337"/>
        <n v="0"/>
        <n v="333"/>
        <n v="327"/>
        <n v="321"/>
        <n v="319"/>
        <n v="317"/>
        <n v="315"/>
        <n v="303"/>
        <n v="301"/>
        <n v="291"/>
        <n v="283"/>
        <n v="277"/>
        <n v="275"/>
        <n v="274"/>
        <n v="261"/>
        <n v="259"/>
        <n v="257"/>
        <n v="256"/>
        <n v="254"/>
        <n v="253"/>
        <n v="246"/>
        <n v="240"/>
        <n v="235"/>
        <n v="226"/>
        <n v="224"/>
        <n v="222"/>
        <n v="217"/>
        <n v="216"/>
        <n v="209"/>
        <n v="202"/>
        <n v="197"/>
        <n v="195"/>
        <n v="190"/>
        <n v="189"/>
        <n v="186"/>
        <n v="161"/>
        <n v="160"/>
        <n v="152"/>
        <n v="149"/>
        <n v="146"/>
        <n v="143"/>
        <n v="135"/>
        <n v="130"/>
        <n v="129"/>
        <n v="127"/>
        <n v="125"/>
        <n v="123"/>
        <n v="110"/>
        <n v="103"/>
        <n v="101"/>
        <n v="100"/>
        <n v="99"/>
        <n v="97"/>
        <n v="93"/>
        <n v="87"/>
        <n v="85"/>
        <n v="84"/>
        <n v="82"/>
        <n v="79"/>
        <n v="78"/>
        <n v="77"/>
        <n v="68"/>
        <n v="62"/>
        <n v="47"/>
        <n v="43"/>
        <n v="34"/>
        <n v="33"/>
        <n v="32"/>
        <n v="28"/>
        <n v="27"/>
        <n v="25"/>
        <n v="16"/>
        <n v="14"/>
        <n v="5"/>
        <n v="2"/>
        <n v="-1"/>
        <n v="-3"/>
        <n v="-5"/>
        <n v="-12"/>
        <n v="-14"/>
        <n v="-19"/>
        <n v="-20"/>
        <n v="-23"/>
        <n v="-25"/>
      </sharedItems>
    </cacheField>
    <cacheField name="Aging_Bucket" numFmtId="0">
      <sharedItems count="6">
        <s v="90+"/>
        <s v="Paid"/>
        <s v="61-90"/>
        <s v="31-60"/>
        <s v="1-30"/>
        <s v="Current"/>
      </sharedItems>
    </cacheField>
    <cacheField name="Month" numFmtId="0">
      <sharedItems/>
    </cacheField>
    <cacheField name="Year_Month" numFmtId="0">
      <sharedItems count="12">
        <s v="2025-03"/>
        <s v="2025-04"/>
        <s v="2025-05"/>
        <s v="2025-06"/>
        <s v="2025-07"/>
        <s v="2025-08"/>
        <s v="2025-09"/>
        <s v="2025-10"/>
        <s v="2025-11"/>
        <s v="2025-12"/>
        <s v="2026-01"/>
        <s v="2026-02"/>
      </sharedItems>
    </cacheField>
  </cacheFields>
  <extLst>
    <ext xmlns:x14="http://schemas.microsoft.com/office/spreadsheetml/2009/9/main" uri="{725AE2AE-9491-48be-B2B4-4EB974FC3084}">
      <x14:pivotCacheDefinition pivotCacheId="1231039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s v="INV-1017"/>
    <s v="Hillcrest Diagnostics"/>
    <d v="2025-03-01T00:00:00"/>
    <d v="2025-03-31T00:00:00"/>
    <m/>
    <x v="0"/>
    <x v="0"/>
    <n v="342.85"/>
    <n v="0"/>
    <x v="0"/>
    <x v="0"/>
    <x v="0"/>
    <s v="K. Brown"/>
    <n v="342.85"/>
    <s v=""/>
    <x v="0"/>
    <x v="0"/>
    <s v="Mar"/>
    <x v="0"/>
  </r>
  <r>
    <s v="INV-1022"/>
    <s v="Summit Health"/>
    <d v="2025-03-04T00:00:00"/>
    <d v="2025-04-03T00:00:00"/>
    <d v="2025-03-16T00:00:00"/>
    <x v="1"/>
    <x v="1"/>
    <n v="1012.03"/>
    <n v="1012.03"/>
    <x v="1"/>
    <x v="1"/>
    <x v="1"/>
    <s v="R. Nguyen"/>
    <n v="0"/>
    <n v="12"/>
    <x v="1"/>
    <x v="1"/>
    <s v="Mar"/>
    <x v="0"/>
  </r>
  <r>
    <s v="INV-1238"/>
    <s v="Summit Health"/>
    <d v="2025-03-04T00:00:00"/>
    <d v="2025-04-03T00:00:00"/>
    <d v="2025-04-18T00:00:00"/>
    <x v="2"/>
    <x v="2"/>
    <n v="2286.94"/>
    <n v="2286.94"/>
    <x v="1"/>
    <x v="0"/>
    <x v="0"/>
    <s v="A. Lopez"/>
    <n v="0"/>
    <n v="45"/>
    <x v="1"/>
    <x v="1"/>
    <s v="Mar"/>
    <x v="0"/>
  </r>
  <r>
    <s v="INV-1037"/>
    <s v="Hillcrest Diagnostics"/>
    <d v="2025-03-05T00:00:00"/>
    <d v="2025-04-04T00:00:00"/>
    <m/>
    <x v="0"/>
    <x v="0"/>
    <n v="527.89"/>
    <n v="0"/>
    <x v="0"/>
    <x v="1"/>
    <x v="2"/>
    <s v="R. Nguyen"/>
    <n v="527.89"/>
    <s v=""/>
    <x v="2"/>
    <x v="0"/>
    <s v="Mar"/>
    <x v="0"/>
  </r>
  <r>
    <s v="INV-1234"/>
    <s v="Blue Ridge Medical"/>
    <d v="2025-03-05T00:00:00"/>
    <d v="2025-04-04T00:00:00"/>
    <m/>
    <x v="2"/>
    <x v="3"/>
    <n v="2036.95"/>
    <n v="0"/>
    <x v="0"/>
    <x v="1"/>
    <x v="3"/>
    <s v="S. Patel"/>
    <n v="2036.95"/>
    <s v=""/>
    <x v="2"/>
    <x v="0"/>
    <s v="Mar"/>
    <x v="0"/>
  </r>
  <r>
    <s v="INV-1239"/>
    <s v="Red Oak Wellness"/>
    <d v="2025-03-06T00:00:00"/>
    <d v="2025-04-05T00:00:00"/>
    <d v="2025-04-02T00:00:00"/>
    <x v="2"/>
    <x v="1"/>
    <n v="4371.67"/>
    <n v="4371.67"/>
    <x v="1"/>
    <x v="0"/>
    <x v="0"/>
    <s v="M. Diaz"/>
    <n v="0"/>
    <n v="27"/>
    <x v="1"/>
    <x v="1"/>
    <s v="Mar"/>
    <x v="0"/>
  </r>
  <r>
    <s v="INV-1179"/>
    <s v="Westgate Family Health"/>
    <d v="2025-03-11T00:00:00"/>
    <d v="2025-04-10T00:00:00"/>
    <m/>
    <x v="3"/>
    <x v="2"/>
    <n v="3042.68"/>
    <n v="0"/>
    <x v="0"/>
    <x v="1"/>
    <x v="2"/>
    <s v="J. Smith"/>
    <n v="3042.68"/>
    <s v=""/>
    <x v="3"/>
    <x v="0"/>
    <s v="Mar"/>
    <x v="0"/>
  </r>
  <r>
    <s v="INV-1210"/>
    <s v="Parkview Internal Medicine"/>
    <d v="2025-03-12T00:00:00"/>
    <d v="2025-04-11T00:00:00"/>
    <d v="2025-03-23T00:00:00"/>
    <x v="1"/>
    <x v="2"/>
    <n v="2328.92"/>
    <n v="2328.92"/>
    <x v="1"/>
    <x v="0"/>
    <x v="0"/>
    <s v="S. Patel"/>
    <n v="0"/>
    <n v="11"/>
    <x v="1"/>
    <x v="1"/>
    <s v="Mar"/>
    <x v="0"/>
  </r>
  <r>
    <s v="INV-1246"/>
    <s v="Valley Care Center"/>
    <d v="2025-03-12T00:00:00"/>
    <d v="2025-04-11T00:00:00"/>
    <d v="2025-05-03T00:00:00"/>
    <x v="3"/>
    <x v="0"/>
    <n v="1940.77"/>
    <n v="1940.77"/>
    <x v="1"/>
    <x v="1"/>
    <x v="1"/>
    <s v="J. Smith"/>
    <n v="0"/>
    <n v="52"/>
    <x v="1"/>
    <x v="1"/>
    <s v="Mar"/>
    <x v="0"/>
  </r>
  <r>
    <s v="INV-1001"/>
    <s v="Oak Health Group"/>
    <d v="2025-03-13T00:00:00"/>
    <d v="2025-04-12T00:00:00"/>
    <d v="2025-04-24T00:00:00"/>
    <x v="2"/>
    <x v="4"/>
    <n v="1804.67"/>
    <n v="1804.67"/>
    <x v="1"/>
    <x v="0"/>
    <x v="0"/>
    <s v="A. Lopez"/>
    <n v="0"/>
    <n v="42"/>
    <x v="1"/>
    <x v="1"/>
    <s v="Mar"/>
    <x v="0"/>
  </r>
  <r>
    <s v="INV-1123"/>
    <s v="Parkview Internal Medicine"/>
    <d v="2025-03-13T00:00:00"/>
    <d v="2025-04-12T00:00:00"/>
    <d v="2025-05-04T00:00:00"/>
    <x v="0"/>
    <x v="3"/>
    <n v="8339"/>
    <n v="8339"/>
    <x v="1"/>
    <x v="1"/>
    <x v="4"/>
    <s v="M. Diaz"/>
    <n v="0"/>
    <n v="52"/>
    <x v="1"/>
    <x v="1"/>
    <s v="Mar"/>
    <x v="0"/>
  </r>
  <r>
    <s v="INV-1065"/>
    <s v="Westgate Family Health"/>
    <d v="2025-03-14T00:00:00"/>
    <d v="2025-04-13T00:00:00"/>
    <d v="2025-04-20T00:00:00"/>
    <x v="3"/>
    <x v="3"/>
    <n v="6371.4"/>
    <n v="6371.4"/>
    <x v="1"/>
    <x v="0"/>
    <x v="0"/>
    <s v="S. Patel"/>
    <n v="0"/>
    <n v="37"/>
    <x v="1"/>
    <x v="1"/>
    <s v="Mar"/>
    <x v="0"/>
  </r>
  <r>
    <s v="INV-1190"/>
    <s v="Pioneer Care"/>
    <d v="2025-03-16T00:00:00"/>
    <d v="2025-04-15T00:00:00"/>
    <d v="2025-04-16T00:00:00"/>
    <x v="4"/>
    <x v="3"/>
    <n v="7294.23"/>
    <n v="7294.23"/>
    <x v="1"/>
    <x v="1"/>
    <x v="1"/>
    <s v="R. Nguyen"/>
    <n v="0"/>
    <n v="31"/>
    <x v="1"/>
    <x v="1"/>
    <s v="Mar"/>
    <x v="0"/>
  </r>
  <r>
    <s v="INV-1010"/>
    <s v="Summit Health"/>
    <d v="2025-03-17T00:00:00"/>
    <d v="2025-04-16T00:00:00"/>
    <m/>
    <x v="2"/>
    <x v="2"/>
    <n v="764.75"/>
    <n v="0"/>
    <x v="0"/>
    <x v="1"/>
    <x v="1"/>
    <s v="M. Diaz"/>
    <n v="764.75"/>
    <s v=""/>
    <x v="4"/>
    <x v="0"/>
    <s v="Mar"/>
    <x v="0"/>
  </r>
  <r>
    <s v="INV-1233"/>
    <s v="Pioneer Care"/>
    <d v="2025-03-19T00:00:00"/>
    <d v="2025-04-18T00:00:00"/>
    <m/>
    <x v="3"/>
    <x v="2"/>
    <n v="4246.43"/>
    <n v="0"/>
    <x v="0"/>
    <x v="0"/>
    <x v="0"/>
    <s v="A. Lopez"/>
    <n v="4246.43"/>
    <s v=""/>
    <x v="5"/>
    <x v="0"/>
    <s v="Mar"/>
    <x v="0"/>
  </r>
  <r>
    <s v="INV-1094"/>
    <s v="Red Oak Wellness"/>
    <d v="2025-03-21T00:00:00"/>
    <d v="2025-04-20T00:00:00"/>
    <m/>
    <x v="4"/>
    <x v="2"/>
    <n v="3106.04"/>
    <n v="0"/>
    <x v="0"/>
    <x v="1"/>
    <x v="3"/>
    <s v="S. Patel"/>
    <n v="3106.04"/>
    <s v=""/>
    <x v="6"/>
    <x v="0"/>
    <s v="Mar"/>
    <x v="0"/>
  </r>
  <r>
    <s v="INV-1181"/>
    <s v="Trinity Wellness"/>
    <d v="2025-03-23T00:00:00"/>
    <d v="2025-04-22T00:00:00"/>
    <d v="2025-04-29T00:00:00"/>
    <x v="2"/>
    <x v="3"/>
    <n v="7545.37"/>
    <n v="7545.37"/>
    <x v="1"/>
    <x v="0"/>
    <x v="0"/>
    <s v="M. Diaz"/>
    <n v="0"/>
    <n v="37"/>
    <x v="1"/>
    <x v="1"/>
    <s v="Mar"/>
    <x v="0"/>
  </r>
  <r>
    <s v="INV-1253"/>
    <s v="Summit Health"/>
    <d v="2025-03-23T00:00:00"/>
    <d v="2025-04-22T00:00:00"/>
    <m/>
    <x v="3"/>
    <x v="2"/>
    <n v="2659.04"/>
    <n v="888.34"/>
    <x v="2"/>
    <x v="0"/>
    <x v="0"/>
    <s v="A. Lopez"/>
    <n v="1770.6999999999998"/>
    <s v=""/>
    <x v="7"/>
    <x v="0"/>
    <s v="Mar"/>
    <x v="0"/>
  </r>
  <r>
    <s v="INV-1110"/>
    <s v="NorthStar Clinic"/>
    <d v="2025-03-24T00:00:00"/>
    <d v="2025-04-23T00:00:00"/>
    <d v="2025-04-27T00:00:00"/>
    <x v="2"/>
    <x v="5"/>
    <n v="1511.24"/>
    <n v="1511.24"/>
    <x v="1"/>
    <x v="0"/>
    <x v="0"/>
    <s v="M. Diaz"/>
    <n v="0"/>
    <n v="34"/>
    <x v="1"/>
    <x v="1"/>
    <s v="Mar"/>
    <x v="0"/>
  </r>
  <r>
    <s v="INV-1203"/>
    <s v="Metro Family Care"/>
    <d v="2025-03-24T00:00:00"/>
    <d v="2025-04-23T00:00:00"/>
    <d v="2025-04-02T00:00:00"/>
    <x v="0"/>
    <x v="0"/>
    <n v="763.78"/>
    <n v="763.78"/>
    <x v="1"/>
    <x v="0"/>
    <x v="0"/>
    <s v="R. Nguyen"/>
    <n v="0"/>
    <n v="9"/>
    <x v="1"/>
    <x v="1"/>
    <s v="Mar"/>
    <x v="0"/>
  </r>
  <r>
    <s v="INV-1066"/>
    <s v="Pioneer Care"/>
    <d v="2025-03-26T00:00:00"/>
    <d v="2025-04-25T00:00:00"/>
    <d v="2025-04-27T00:00:00"/>
    <x v="2"/>
    <x v="2"/>
    <n v="1346.64"/>
    <n v="1346.64"/>
    <x v="1"/>
    <x v="0"/>
    <x v="0"/>
    <s v="M. Diaz"/>
    <n v="0"/>
    <n v="32"/>
    <x v="1"/>
    <x v="1"/>
    <s v="Mar"/>
    <x v="0"/>
  </r>
  <r>
    <s v="INV-1083"/>
    <s v="Blue Ridge Medical"/>
    <d v="2025-03-28T00:00:00"/>
    <d v="2025-04-27T00:00:00"/>
    <d v="2025-04-11T00:00:00"/>
    <x v="0"/>
    <x v="0"/>
    <n v="2377"/>
    <n v="2377"/>
    <x v="1"/>
    <x v="0"/>
    <x v="0"/>
    <s v="R. Nguyen"/>
    <n v="0"/>
    <n v="14"/>
    <x v="1"/>
    <x v="1"/>
    <s v="Mar"/>
    <x v="0"/>
  </r>
  <r>
    <s v="INV-1156"/>
    <s v="Red Oak Wellness"/>
    <d v="2025-03-29T00:00:00"/>
    <d v="2025-04-28T00:00:00"/>
    <d v="2025-04-10T00:00:00"/>
    <x v="2"/>
    <x v="3"/>
    <n v="3621.18"/>
    <n v="3621.18"/>
    <x v="1"/>
    <x v="1"/>
    <x v="1"/>
    <s v="J. Smith"/>
    <n v="0"/>
    <n v="12"/>
    <x v="1"/>
    <x v="1"/>
    <s v="Mar"/>
    <x v="0"/>
  </r>
  <r>
    <s v="INV-1245"/>
    <s v="Riverside Health"/>
    <d v="2025-03-29T00:00:00"/>
    <d v="2025-04-28T00:00:00"/>
    <d v="2025-05-19T00:00:00"/>
    <x v="3"/>
    <x v="4"/>
    <n v="3791.06"/>
    <n v="3791.06"/>
    <x v="1"/>
    <x v="0"/>
    <x v="0"/>
    <s v="S. Patel"/>
    <n v="0"/>
    <n v="51"/>
    <x v="1"/>
    <x v="1"/>
    <s v="Mar"/>
    <x v="0"/>
  </r>
  <r>
    <s v="INV-1161"/>
    <s v="Cedar Grove Health"/>
    <d v="2025-04-03T00:00:00"/>
    <d v="2025-05-03T00:00:00"/>
    <d v="2025-05-23T00:00:00"/>
    <x v="2"/>
    <x v="5"/>
    <n v="2502.98"/>
    <n v="2502.98"/>
    <x v="1"/>
    <x v="0"/>
    <x v="0"/>
    <s v="S. Patel"/>
    <n v="0"/>
    <n v="50"/>
    <x v="1"/>
    <x v="1"/>
    <s v="Apr"/>
    <x v="1"/>
  </r>
  <r>
    <s v="INV-1138"/>
    <s v="Parkview Internal Medicine"/>
    <d v="2025-04-04T00:00:00"/>
    <d v="2025-05-04T00:00:00"/>
    <d v="2025-05-28T00:00:00"/>
    <x v="1"/>
    <x v="5"/>
    <n v="1738.82"/>
    <n v="1015.16"/>
    <x v="2"/>
    <x v="1"/>
    <x v="2"/>
    <s v="J. Smith"/>
    <n v="723.66"/>
    <n v="54"/>
    <x v="8"/>
    <x v="0"/>
    <s v="Apr"/>
    <x v="1"/>
  </r>
  <r>
    <s v="INV-1180"/>
    <s v="Lakeside Imaging"/>
    <d v="2025-04-04T00:00:00"/>
    <d v="2025-05-04T00:00:00"/>
    <d v="2025-05-03T00:00:00"/>
    <x v="2"/>
    <x v="4"/>
    <n v="5531.15"/>
    <n v="5531.15"/>
    <x v="1"/>
    <x v="0"/>
    <x v="0"/>
    <s v="R. Nguyen"/>
    <n v="0"/>
    <n v="29"/>
    <x v="1"/>
    <x v="1"/>
    <s v="Apr"/>
    <x v="1"/>
  </r>
  <r>
    <s v="INV-1091"/>
    <s v="Trinity Wellness"/>
    <d v="2025-04-06T00:00:00"/>
    <d v="2025-05-06T00:00:00"/>
    <d v="2025-05-26T00:00:00"/>
    <x v="1"/>
    <x v="4"/>
    <n v="5084.32"/>
    <n v="2610.7600000000002"/>
    <x v="2"/>
    <x v="0"/>
    <x v="0"/>
    <s v="M. Diaz"/>
    <n v="2473.5599999999995"/>
    <n v="50"/>
    <x v="9"/>
    <x v="0"/>
    <s v="Apr"/>
    <x v="1"/>
  </r>
  <r>
    <s v="INV-1086"/>
    <s v="Valley Care Center"/>
    <d v="2025-04-13T00:00:00"/>
    <d v="2025-05-13T00:00:00"/>
    <d v="2025-05-05T00:00:00"/>
    <x v="4"/>
    <x v="5"/>
    <n v="2769.77"/>
    <n v="2769.77"/>
    <x v="1"/>
    <x v="0"/>
    <x v="0"/>
    <s v="S. Patel"/>
    <n v="0"/>
    <n v="22"/>
    <x v="1"/>
    <x v="1"/>
    <s v="Apr"/>
    <x v="1"/>
  </r>
  <r>
    <s v="INV-1013"/>
    <s v="Parkview Internal Medicine"/>
    <d v="2025-04-16T00:00:00"/>
    <d v="2025-05-16T00:00:00"/>
    <d v="2025-06-26T00:00:00"/>
    <x v="1"/>
    <x v="5"/>
    <n v="2345.08"/>
    <n v="1127.6600000000001"/>
    <x v="2"/>
    <x v="1"/>
    <x v="5"/>
    <s v="A. Lopez"/>
    <n v="1217.4199999999998"/>
    <n v="71"/>
    <x v="10"/>
    <x v="0"/>
    <s v="Apr"/>
    <x v="1"/>
  </r>
  <r>
    <s v="INV-1109"/>
    <s v="Summit Health"/>
    <d v="2025-04-16T00:00:00"/>
    <d v="2025-05-16T00:00:00"/>
    <d v="2025-05-13T00:00:00"/>
    <x v="3"/>
    <x v="5"/>
    <n v="2582.06"/>
    <n v="2582.06"/>
    <x v="1"/>
    <x v="0"/>
    <x v="0"/>
    <s v="R. Nguyen"/>
    <n v="0"/>
    <n v="27"/>
    <x v="1"/>
    <x v="1"/>
    <s v="Apr"/>
    <x v="1"/>
  </r>
  <r>
    <s v="INV-1128"/>
    <s v="Riverside Health"/>
    <d v="2025-04-16T00:00:00"/>
    <d v="2025-05-16T00:00:00"/>
    <d v="2025-05-09T00:00:00"/>
    <x v="4"/>
    <x v="1"/>
    <n v="3864.87"/>
    <n v="3864.87"/>
    <x v="1"/>
    <x v="0"/>
    <x v="0"/>
    <s v="R. Nguyen"/>
    <n v="0"/>
    <n v="23"/>
    <x v="1"/>
    <x v="1"/>
    <s v="Apr"/>
    <x v="1"/>
  </r>
  <r>
    <s v="INV-1143"/>
    <s v="NorthStar Clinic"/>
    <d v="2025-04-16T00:00:00"/>
    <d v="2025-05-16T00:00:00"/>
    <d v="2025-06-09T00:00:00"/>
    <x v="0"/>
    <x v="4"/>
    <n v="3822.79"/>
    <n v="3822.79"/>
    <x v="1"/>
    <x v="0"/>
    <x v="0"/>
    <s v="K. Brown"/>
    <n v="0"/>
    <n v="54"/>
    <x v="1"/>
    <x v="1"/>
    <s v="Apr"/>
    <x v="1"/>
  </r>
  <r>
    <s v="INV-1208"/>
    <s v="Trinity Wellness"/>
    <d v="2025-04-19T00:00:00"/>
    <d v="2025-05-19T00:00:00"/>
    <d v="2025-05-07T00:00:00"/>
    <x v="1"/>
    <x v="0"/>
    <n v="2201.16"/>
    <n v="2201.16"/>
    <x v="1"/>
    <x v="0"/>
    <x v="0"/>
    <s v="K. Brown"/>
    <n v="0"/>
    <n v="18"/>
    <x v="1"/>
    <x v="1"/>
    <s v="Apr"/>
    <x v="1"/>
  </r>
  <r>
    <s v="INV-1230"/>
    <s v="Parkview Internal Medicine"/>
    <d v="2025-04-21T00:00:00"/>
    <d v="2025-05-21T00:00:00"/>
    <d v="2025-05-29T00:00:00"/>
    <x v="4"/>
    <x v="5"/>
    <n v="3431.52"/>
    <n v="3431.52"/>
    <x v="1"/>
    <x v="0"/>
    <x v="0"/>
    <s v="S. Patel"/>
    <n v="0"/>
    <n v="38"/>
    <x v="1"/>
    <x v="1"/>
    <s v="Apr"/>
    <x v="1"/>
  </r>
  <r>
    <s v="INV-1016"/>
    <s v="Hillcrest Diagnostics"/>
    <d v="2025-04-24T00:00:00"/>
    <d v="2025-05-24T00:00:00"/>
    <d v="2025-06-05T00:00:00"/>
    <x v="2"/>
    <x v="1"/>
    <n v="3927.54"/>
    <n v="3927.54"/>
    <x v="1"/>
    <x v="0"/>
    <x v="0"/>
    <s v="S. Patel"/>
    <n v="0"/>
    <n v="42"/>
    <x v="1"/>
    <x v="1"/>
    <s v="Apr"/>
    <x v="1"/>
  </r>
  <r>
    <s v="INV-1056"/>
    <s v="NorthStar Clinic"/>
    <d v="2025-04-24T00:00:00"/>
    <d v="2025-05-24T00:00:00"/>
    <d v="2025-07-03T00:00:00"/>
    <x v="3"/>
    <x v="4"/>
    <n v="6589.59"/>
    <n v="2632.67"/>
    <x v="2"/>
    <x v="1"/>
    <x v="6"/>
    <s v="A. Lopez"/>
    <n v="3956.92"/>
    <n v="70"/>
    <x v="11"/>
    <x v="0"/>
    <s v="Apr"/>
    <x v="1"/>
  </r>
  <r>
    <s v="INV-1100"/>
    <s v="Riverside Health"/>
    <d v="2025-04-30T00:00:00"/>
    <d v="2025-05-30T00:00:00"/>
    <d v="2025-05-30T00:00:00"/>
    <x v="4"/>
    <x v="2"/>
    <n v="1667.45"/>
    <n v="1397.57"/>
    <x v="2"/>
    <x v="1"/>
    <x v="3"/>
    <s v="R. Nguyen"/>
    <n v="269.88000000000011"/>
    <n v="30"/>
    <x v="12"/>
    <x v="0"/>
    <s v="Apr"/>
    <x v="1"/>
  </r>
  <r>
    <s v="INV-1214"/>
    <s v="Canyon Creek Medical"/>
    <d v="2025-04-30T00:00:00"/>
    <d v="2025-05-30T00:00:00"/>
    <m/>
    <x v="4"/>
    <x v="5"/>
    <n v="1556.91"/>
    <n v="0"/>
    <x v="0"/>
    <x v="1"/>
    <x v="1"/>
    <s v="K. Brown"/>
    <n v="1556.91"/>
    <s v=""/>
    <x v="12"/>
    <x v="0"/>
    <s v="Apr"/>
    <x v="1"/>
  </r>
  <r>
    <s v="INV-1099"/>
    <s v="Parkview Internal Medicine"/>
    <d v="2025-05-02T00:00:00"/>
    <d v="2025-06-01T00:00:00"/>
    <d v="2025-05-28T00:00:00"/>
    <x v="1"/>
    <x v="1"/>
    <n v="4936.3599999999997"/>
    <n v="2869.76"/>
    <x v="2"/>
    <x v="1"/>
    <x v="5"/>
    <s v="S. Patel"/>
    <n v="2066.5999999999995"/>
    <n v="26"/>
    <x v="13"/>
    <x v="0"/>
    <s v="May"/>
    <x v="2"/>
  </r>
  <r>
    <s v="INV-1194"/>
    <s v="Horizon Medical"/>
    <d v="2025-05-02T00:00:00"/>
    <d v="2025-06-01T00:00:00"/>
    <m/>
    <x v="4"/>
    <x v="5"/>
    <n v="935.23"/>
    <n v="688.62"/>
    <x v="2"/>
    <x v="0"/>
    <x v="0"/>
    <s v="K. Brown"/>
    <n v="246.61"/>
    <s v=""/>
    <x v="13"/>
    <x v="0"/>
    <s v="May"/>
    <x v="2"/>
  </r>
  <r>
    <s v="INV-1171"/>
    <s v="Hillcrest Diagnostics"/>
    <d v="2025-05-03T00:00:00"/>
    <d v="2025-06-02T00:00:00"/>
    <m/>
    <x v="2"/>
    <x v="5"/>
    <n v="1245.6500000000001"/>
    <n v="0"/>
    <x v="0"/>
    <x v="1"/>
    <x v="4"/>
    <s v="A. Lopez"/>
    <n v="1245.6500000000001"/>
    <s v=""/>
    <x v="14"/>
    <x v="0"/>
    <s v="May"/>
    <x v="2"/>
  </r>
  <r>
    <s v="INV-1019"/>
    <s v="Westgate Family Health"/>
    <d v="2025-05-04T00:00:00"/>
    <d v="2025-06-03T00:00:00"/>
    <d v="2025-06-19T00:00:00"/>
    <x v="4"/>
    <x v="1"/>
    <n v="5718.3"/>
    <n v="5718.3"/>
    <x v="1"/>
    <x v="0"/>
    <x v="0"/>
    <s v="K. Brown"/>
    <n v="0"/>
    <n v="46"/>
    <x v="1"/>
    <x v="1"/>
    <s v="May"/>
    <x v="2"/>
  </r>
  <r>
    <s v="INV-1148"/>
    <s v="Pioneer Care"/>
    <d v="2025-05-06T00:00:00"/>
    <d v="2025-06-05T00:00:00"/>
    <d v="2025-06-05T00:00:00"/>
    <x v="3"/>
    <x v="3"/>
    <n v="2994.86"/>
    <n v="2994.86"/>
    <x v="1"/>
    <x v="0"/>
    <x v="0"/>
    <s v="R. Nguyen"/>
    <n v="0"/>
    <n v="30"/>
    <x v="1"/>
    <x v="1"/>
    <s v="May"/>
    <x v="2"/>
  </r>
  <r>
    <s v="INV-1131"/>
    <s v="NorthStar Clinic"/>
    <d v="2025-05-07T00:00:00"/>
    <d v="2025-06-06T00:00:00"/>
    <d v="2025-05-23T00:00:00"/>
    <x v="1"/>
    <x v="0"/>
    <n v="1595.48"/>
    <n v="1595.48"/>
    <x v="1"/>
    <x v="0"/>
    <x v="0"/>
    <s v="A. Lopez"/>
    <n v="0"/>
    <n v="16"/>
    <x v="1"/>
    <x v="1"/>
    <s v="May"/>
    <x v="2"/>
  </r>
  <r>
    <s v="INV-1170"/>
    <s v="Canyon Creek Medical"/>
    <d v="2025-05-10T00:00:00"/>
    <d v="2025-06-09T00:00:00"/>
    <d v="2025-07-02T00:00:00"/>
    <x v="2"/>
    <x v="5"/>
    <n v="1889.83"/>
    <n v="1889.83"/>
    <x v="1"/>
    <x v="0"/>
    <x v="0"/>
    <s v="R. Nguyen"/>
    <n v="0"/>
    <n v="53"/>
    <x v="1"/>
    <x v="1"/>
    <s v="May"/>
    <x v="2"/>
  </r>
  <r>
    <s v="INV-1192"/>
    <s v="Red Oak Wellness"/>
    <d v="2025-05-10T00:00:00"/>
    <d v="2025-06-09T00:00:00"/>
    <d v="2025-05-19T00:00:00"/>
    <x v="0"/>
    <x v="0"/>
    <n v="991.65"/>
    <n v="991.65"/>
    <x v="1"/>
    <x v="0"/>
    <x v="0"/>
    <s v="K. Brown"/>
    <n v="0"/>
    <n v="9"/>
    <x v="1"/>
    <x v="1"/>
    <s v="May"/>
    <x v="2"/>
  </r>
  <r>
    <s v="INV-1162"/>
    <s v="Canyon Creek Medical"/>
    <d v="2025-05-16T00:00:00"/>
    <d v="2025-06-15T00:00:00"/>
    <m/>
    <x v="2"/>
    <x v="5"/>
    <n v="2457.1999999999998"/>
    <n v="0"/>
    <x v="0"/>
    <x v="1"/>
    <x v="4"/>
    <s v="S. Patel"/>
    <n v="2457.1999999999998"/>
    <s v=""/>
    <x v="15"/>
    <x v="0"/>
    <s v="May"/>
    <x v="2"/>
  </r>
  <r>
    <s v="INV-1069"/>
    <s v="Canyon Creek Medical"/>
    <d v="2025-05-18T00:00:00"/>
    <d v="2025-06-17T00:00:00"/>
    <d v="2025-07-09T00:00:00"/>
    <x v="4"/>
    <x v="4"/>
    <n v="5620.1"/>
    <n v="5620.1"/>
    <x v="1"/>
    <x v="0"/>
    <x v="0"/>
    <s v="K. Brown"/>
    <n v="0"/>
    <n v="52"/>
    <x v="1"/>
    <x v="1"/>
    <s v="May"/>
    <x v="2"/>
  </r>
  <r>
    <s v="INV-1200"/>
    <s v="Hillcrest Diagnostics"/>
    <d v="2025-05-18T00:00:00"/>
    <d v="2025-06-17T00:00:00"/>
    <d v="2025-07-01T00:00:00"/>
    <x v="2"/>
    <x v="4"/>
    <n v="3123.16"/>
    <n v="2457.79"/>
    <x v="2"/>
    <x v="1"/>
    <x v="6"/>
    <s v="A. Lopez"/>
    <n v="665.36999999999989"/>
    <n v="44"/>
    <x v="16"/>
    <x v="0"/>
    <s v="May"/>
    <x v="2"/>
  </r>
  <r>
    <s v="INV-1038"/>
    <s v="Westgate Family Health"/>
    <d v="2025-05-19T00:00:00"/>
    <d v="2025-06-18T00:00:00"/>
    <d v="2025-06-12T00:00:00"/>
    <x v="2"/>
    <x v="0"/>
    <n v="763.39"/>
    <n v="763.39"/>
    <x v="1"/>
    <x v="0"/>
    <x v="0"/>
    <s v="S. Patel"/>
    <n v="0"/>
    <n v="24"/>
    <x v="1"/>
    <x v="1"/>
    <s v="May"/>
    <x v="2"/>
  </r>
  <r>
    <s v="INV-1015"/>
    <s v="Sunrise Medical Partners"/>
    <d v="2025-05-20T00:00:00"/>
    <d v="2025-06-19T00:00:00"/>
    <d v="2025-06-08T00:00:00"/>
    <x v="3"/>
    <x v="5"/>
    <n v="3115.14"/>
    <n v="3115.14"/>
    <x v="1"/>
    <x v="0"/>
    <x v="0"/>
    <s v="R. Nguyen"/>
    <n v="0"/>
    <n v="19"/>
    <x v="1"/>
    <x v="1"/>
    <s v="May"/>
    <x v="2"/>
  </r>
  <r>
    <s v="INV-1031"/>
    <s v="Hillcrest Diagnostics"/>
    <d v="2025-05-20T00:00:00"/>
    <d v="2025-06-19T00:00:00"/>
    <d v="2025-06-22T00:00:00"/>
    <x v="1"/>
    <x v="3"/>
    <n v="7840.47"/>
    <n v="7840.47"/>
    <x v="1"/>
    <x v="1"/>
    <x v="7"/>
    <s v="J. Smith"/>
    <n v="0"/>
    <n v="33"/>
    <x v="1"/>
    <x v="1"/>
    <s v="May"/>
    <x v="2"/>
  </r>
  <r>
    <s v="INV-1036"/>
    <s v="Valley Care Center"/>
    <d v="2025-05-20T00:00:00"/>
    <d v="2025-06-19T00:00:00"/>
    <m/>
    <x v="3"/>
    <x v="3"/>
    <n v="3559.63"/>
    <n v="0"/>
    <x v="0"/>
    <x v="0"/>
    <x v="0"/>
    <s v="R. Nguyen"/>
    <n v="3559.63"/>
    <s v=""/>
    <x v="17"/>
    <x v="0"/>
    <s v="May"/>
    <x v="2"/>
  </r>
  <r>
    <s v="INV-1058"/>
    <s v="Riverside Health"/>
    <d v="2025-05-21T00:00:00"/>
    <d v="2025-06-20T00:00:00"/>
    <d v="2025-07-28T00:00:00"/>
    <x v="3"/>
    <x v="2"/>
    <n v="3507.11"/>
    <n v="1896.5"/>
    <x v="2"/>
    <x v="1"/>
    <x v="6"/>
    <s v="M. Diaz"/>
    <n v="1610.6100000000001"/>
    <n v="68"/>
    <x v="18"/>
    <x v="0"/>
    <s v="May"/>
    <x v="2"/>
  </r>
  <r>
    <s v="INV-1008"/>
    <s v="Lakeside Imaging"/>
    <d v="2025-05-23T00:00:00"/>
    <d v="2025-06-22T00:00:00"/>
    <d v="2025-07-05T00:00:00"/>
    <x v="2"/>
    <x v="0"/>
    <n v="1774.39"/>
    <n v="519.62"/>
    <x v="2"/>
    <x v="0"/>
    <x v="0"/>
    <s v="A. Lopez"/>
    <n v="1254.77"/>
    <n v="43"/>
    <x v="19"/>
    <x v="0"/>
    <s v="May"/>
    <x v="2"/>
  </r>
  <r>
    <s v="INV-1120"/>
    <s v="Prime Family Clinic"/>
    <d v="2025-05-24T00:00:00"/>
    <d v="2025-06-23T00:00:00"/>
    <d v="2025-06-05T00:00:00"/>
    <x v="2"/>
    <x v="2"/>
    <n v="3486.24"/>
    <n v="3486.24"/>
    <x v="1"/>
    <x v="0"/>
    <x v="0"/>
    <s v="M. Diaz"/>
    <n v="0"/>
    <n v="12"/>
    <x v="1"/>
    <x v="1"/>
    <s v="May"/>
    <x v="2"/>
  </r>
  <r>
    <s v="INV-1167"/>
    <s v="Canyon Creek Medical"/>
    <d v="2025-05-24T00:00:00"/>
    <d v="2025-06-23T00:00:00"/>
    <d v="2025-08-01T00:00:00"/>
    <x v="3"/>
    <x v="5"/>
    <n v="1529.33"/>
    <n v="942.61"/>
    <x v="2"/>
    <x v="0"/>
    <x v="0"/>
    <s v="K. Brown"/>
    <n v="586.71999999999991"/>
    <n v="69"/>
    <x v="20"/>
    <x v="0"/>
    <s v="May"/>
    <x v="2"/>
  </r>
  <r>
    <s v="INV-1154"/>
    <s v="Metro Family Care"/>
    <d v="2025-05-30T00:00:00"/>
    <d v="2025-06-29T00:00:00"/>
    <d v="2025-07-13T00:00:00"/>
    <x v="3"/>
    <x v="2"/>
    <n v="3539.51"/>
    <n v="3539.51"/>
    <x v="1"/>
    <x v="0"/>
    <x v="0"/>
    <s v="S. Patel"/>
    <n v="0"/>
    <n v="44"/>
    <x v="1"/>
    <x v="1"/>
    <s v="May"/>
    <x v="2"/>
  </r>
  <r>
    <s v="INV-1047"/>
    <s v="Prime Family Clinic"/>
    <d v="2025-05-31T00:00:00"/>
    <d v="2025-06-30T00:00:00"/>
    <d v="2025-06-28T00:00:00"/>
    <x v="0"/>
    <x v="0"/>
    <n v="538.49"/>
    <n v="538.49"/>
    <x v="1"/>
    <x v="0"/>
    <x v="0"/>
    <s v="J. Smith"/>
    <n v="0"/>
    <n v="28"/>
    <x v="1"/>
    <x v="1"/>
    <s v="May"/>
    <x v="2"/>
  </r>
  <r>
    <s v="INV-1249"/>
    <s v="Oak Health Group"/>
    <d v="2025-05-31T00:00:00"/>
    <d v="2025-06-30T00:00:00"/>
    <m/>
    <x v="0"/>
    <x v="2"/>
    <n v="1009.39"/>
    <n v="0"/>
    <x v="0"/>
    <x v="0"/>
    <x v="0"/>
    <s v="S. Patel"/>
    <n v="1009.39"/>
    <s v=""/>
    <x v="21"/>
    <x v="0"/>
    <s v="May"/>
    <x v="2"/>
  </r>
  <r>
    <s v="INV-1187"/>
    <s v="Canyon Creek Medical"/>
    <d v="2025-06-01T00:00:00"/>
    <d v="2025-07-01T00:00:00"/>
    <d v="2025-07-07T00:00:00"/>
    <x v="0"/>
    <x v="0"/>
    <n v="525.72"/>
    <n v="525.72"/>
    <x v="1"/>
    <x v="0"/>
    <x v="0"/>
    <s v="M. Diaz"/>
    <n v="0"/>
    <n v="36"/>
    <x v="1"/>
    <x v="1"/>
    <s v="Jun"/>
    <x v="3"/>
  </r>
  <r>
    <s v="INV-1178"/>
    <s v="Sunrise Medical Partners"/>
    <d v="2025-06-04T00:00:00"/>
    <d v="2025-07-04T00:00:00"/>
    <d v="2025-07-14T00:00:00"/>
    <x v="1"/>
    <x v="3"/>
    <n v="1727.9"/>
    <n v="1727.9"/>
    <x v="1"/>
    <x v="0"/>
    <x v="0"/>
    <s v="M. Diaz"/>
    <n v="0"/>
    <n v="40"/>
    <x v="1"/>
    <x v="1"/>
    <s v="Jun"/>
    <x v="3"/>
  </r>
  <r>
    <s v="INV-1101"/>
    <s v="Evergreen Pediatrics"/>
    <d v="2025-06-06T00:00:00"/>
    <d v="2025-07-06T00:00:00"/>
    <m/>
    <x v="0"/>
    <x v="3"/>
    <n v="8058.74"/>
    <n v="0"/>
    <x v="0"/>
    <x v="1"/>
    <x v="4"/>
    <s v="R. Nguyen"/>
    <n v="8058.74"/>
    <s v=""/>
    <x v="22"/>
    <x v="0"/>
    <s v="Jun"/>
    <x v="3"/>
  </r>
  <r>
    <s v="INV-1221"/>
    <s v="Oak Health Group"/>
    <d v="2025-06-06T00:00:00"/>
    <d v="2025-07-06T00:00:00"/>
    <d v="2025-07-16T00:00:00"/>
    <x v="1"/>
    <x v="2"/>
    <n v="2175.12"/>
    <n v="2175.12"/>
    <x v="1"/>
    <x v="0"/>
    <x v="0"/>
    <s v="M. Diaz"/>
    <n v="0"/>
    <n v="40"/>
    <x v="1"/>
    <x v="1"/>
    <s v="Jun"/>
    <x v="3"/>
  </r>
  <r>
    <s v="INV-1215"/>
    <s v="Trinity Wellness"/>
    <d v="2025-06-10T00:00:00"/>
    <d v="2025-07-10T00:00:00"/>
    <d v="2025-07-09T00:00:00"/>
    <x v="0"/>
    <x v="3"/>
    <n v="5100.6099999999997"/>
    <n v="5100.6099999999997"/>
    <x v="1"/>
    <x v="0"/>
    <x v="0"/>
    <s v="K. Brown"/>
    <n v="0"/>
    <n v="29"/>
    <x v="1"/>
    <x v="1"/>
    <s v="Jun"/>
    <x v="3"/>
  </r>
  <r>
    <s v="INV-1183"/>
    <s v="Blue Ridge Medical"/>
    <d v="2025-06-11T00:00:00"/>
    <d v="2025-07-11T00:00:00"/>
    <m/>
    <x v="1"/>
    <x v="0"/>
    <n v="1433.84"/>
    <n v="0"/>
    <x v="0"/>
    <x v="1"/>
    <x v="1"/>
    <s v="M. Diaz"/>
    <n v="1433.84"/>
    <s v=""/>
    <x v="23"/>
    <x v="0"/>
    <s v="Jun"/>
    <x v="3"/>
  </r>
  <r>
    <s v="INV-1228"/>
    <s v="Horizon Medical"/>
    <d v="2025-06-12T00:00:00"/>
    <d v="2025-07-12T00:00:00"/>
    <d v="2025-07-27T00:00:00"/>
    <x v="0"/>
    <x v="0"/>
    <n v="1831.58"/>
    <n v="1831.58"/>
    <x v="1"/>
    <x v="0"/>
    <x v="0"/>
    <s v="S. Patel"/>
    <n v="0"/>
    <n v="45"/>
    <x v="1"/>
    <x v="1"/>
    <s v="Jun"/>
    <x v="3"/>
  </r>
  <r>
    <s v="INV-1061"/>
    <s v="Blue Ridge Medical"/>
    <d v="2025-06-14T00:00:00"/>
    <d v="2025-07-14T00:00:00"/>
    <d v="2025-07-28T00:00:00"/>
    <x v="3"/>
    <x v="2"/>
    <n v="4284.25"/>
    <n v="4284.25"/>
    <x v="1"/>
    <x v="0"/>
    <x v="0"/>
    <s v="S. Patel"/>
    <n v="0"/>
    <n v="44"/>
    <x v="1"/>
    <x v="1"/>
    <s v="Jun"/>
    <x v="3"/>
  </r>
  <r>
    <s v="INV-1042"/>
    <s v="Lakeside Imaging"/>
    <d v="2025-06-16T00:00:00"/>
    <d v="2025-07-16T00:00:00"/>
    <d v="2025-08-02T00:00:00"/>
    <x v="4"/>
    <x v="1"/>
    <n v="2574.5"/>
    <n v="2574.5"/>
    <x v="1"/>
    <x v="0"/>
    <x v="0"/>
    <s v="J. Smith"/>
    <n v="0"/>
    <n v="47"/>
    <x v="1"/>
    <x v="1"/>
    <s v="Jun"/>
    <x v="3"/>
  </r>
  <r>
    <s v="INV-1020"/>
    <s v="Sunrise Medical Partners"/>
    <d v="2025-06-17T00:00:00"/>
    <d v="2025-07-17T00:00:00"/>
    <d v="2025-08-05T00:00:00"/>
    <x v="0"/>
    <x v="1"/>
    <n v="1766.1"/>
    <n v="1766.1"/>
    <x v="1"/>
    <x v="0"/>
    <x v="0"/>
    <s v="R. Nguyen"/>
    <n v="0"/>
    <n v="49"/>
    <x v="1"/>
    <x v="1"/>
    <s v="Jun"/>
    <x v="3"/>
  </r>
  <r>
    <s v="INV-1030"/>
    <s v="Valley Care Center"/>
    <d v="2025-06-20T00:00:00"/>
    <d v="2025-07-20T00:00:00"/>
    <m/>
    <x v="1"/>
    <x v="3"/>
    <n v="5429.12"/>
    <n v="2910.41"/>
    <x v="2"/>
    <x v="1"/>
    <x v="6"/>
    <s v="R. Nguyen"/>
    <n v="2518.71"/>
    <s v=""/>
    <x v="24"/>
    <x v="0"/>
    <s v="Jun"/>
    <x v="3"/>
  </r>
  <r>
    <s v="INV-1172"/>
    <s v="Metro Family Care"/>
    <d v="2025-06-22T00:00:00"/>
    <d v="2025-07-22T00:00:00"/>
    <d v="2025-07-24T00:00:00"/>
    <x v="3"/>
    <x v="0"/>
    <n v="1212.77"/>
    <n v="1212.77"/>
    <x v="1"/>
    <x v="0"/>
    <x v="0"/>
    <s v="J. Smith"/>
    <n v="0"/>
    <n v="32"/>
    <x v="1"/>
    <x v="1"/>
    <s v="Jun"/>
    <x v="3"/>
  </r>
  <r>
    <s v="INV-1241"/>
    <s v="Canyon Creek Medical"/>
    <d v="2025-06-22T00:00:00"/>
    <d v="2025-07-22T00:00:00"/>
    <d v="2025-09-02T00:00:00"/>
    <x v="4"/>
    <x v="4"/>
    <n v="1902.94"/>
    <n v="950.53"/>
    <x v="2"/>
    <x v="0"/>
    <x v="0"/>
    <s v="K. Brown"/>
    <n v="952.41000000000008"/>
    <n v="72"/>
    <x v="25"/>
    <x v="0"/>
    <s v="Jun"/>
    <x v="3"/>
  </r>
  <r>
    <s v="INV-1054"/>
    <s v="Valley Care Center"/>
    <d v="2025-06-24T00:00:00"/>
    <d v="2025-07-24T00:00:00"/>
    <m/>
    <x v="4"/>
    <x v="4"/>
    <n v="1132.74"/>
    <n v="0"/>
    <x v="0"/>
    <x v="1"/>
    <x v="2"/>
    <s v="J. Smith"/>
    <n v="1132.74"/>
    <s v=""/>
    <x v="26"/>
    <x v="0"/>
    <s v="Jun"/>
    <x v="3"/>
  </r>
  <r>
    <s v="INV-1121"/>
    <s v="Trinity Wellness"/>
    <d v="2025-06-24T00:00:00"/>
    <d v="2025-07-24T00:00:00"/>
    <d v="2025-07-09T00:00:00"/>
    <x v="3"/>
    <x v="3"/>
    <n v="1904.36"/>
    <n v="1904.36"/>
    <x v="1"/>
    <x v="0"/>
    <x v="0"/>
    <s v="M. Diaz"/>
    <n v="0"/>
    <n v="15"/>
    <x v="1"/>
    <x v="1"/>
    <s v="Jun"/>
    <x v="3"/>
  </r>
  <r>
    <s v="INV-1141"/>
    <s v="Red Oak Wellness"/>
    <d v="2025-06-24T00:00:00"/>
    <d v="2025-07-24T00:00:00"/>
    <d v="2025-08-14T00:00:00"/>
    <x v="3"/>
    <x v="3"/>
    <n v="5985.87"/>
    <n v="1600.45"/>
    <x v="2"/>
    <x v="1"/>
    <x v="4"/>
    <s v="S. Patel"/>
    <n v="4385.42"/>
    <n v="51"/>
    <x v="26"/>
    <x v="0"/>
    <s v="Jun"/>
    <x v="3"/>
  </r>
  <r>
    <s v="INV-1165"/>
    <s v="Horizon Medical"/>
    <d v="2025-06-24T00:00:00"/>
    <d v="2025-07-24T00:00:00"/>
    <m/>
    <x v="4"/>
    <x v="4"/>
    <n v="2929.7"/>
    <n v="2200.42"/>
    <x v="2"/>
    <x v="1"/>
    <x v="6"/>
    <s v="J. Smith"/>
    <n v="729.27999999999975"/>
    <s v=""/>
    <x v="26"/>
    <x v="0"/>
    <s v="Jun"/>
    <x v="3"/>
  </r>
  <r>
    <s v="INV-1232"/>
    <s v="Red Oak Wellness"/>
    <d v="2025-06-27T00:00:00"/>
    <d v="2025-07-27T00:00:00"/>
    <d v="2025-07-31T00:00:00"/>
    <x v="0"/>
    <x v="1"/>
    <n v="5206.7700000000004"/>
    <n v="5206.7700000000004"/>
    <x v="1"/>
    <x v="0"/>
    <x v="0"/>
    <s v="R. Nguyen"/>
    <n v="0"/>
    <n v="34"/>
    <x v="1"/>
    <x v="1"/>
    <s v="Jun"/>
    <x v="3"/>
  </r>
  <r>
    <s v="INV-1125"/>
    <s v="Oak Health Group"/>
    <d v="2025-06-29T00:00:00"/>
    <d v="2025-07-29T00:00:00"/>
    <d v="2025-07-30T00:00:00"/>
    <x v="0"/>
    <x v="4"/>
    <n v="4066.24"/>
    <n v="3324.49"/>
    <x v="2"/>
    <x v="0"/>
    <x v="0"/>
    <s v="K. Brown"/>
    <n v="741.75"/>
    <n v="31"/>
    <x v="27"/>
    <x v="0"/>
    <s v="Jun"/>
    <x v="3"/>
  </r>
  <r>
    <s v="INV-1023"/>
    <s v="Hillcrest Diagnostics"/>
    <d v="2025-06-30T00:00:00"/>
    <d v="2025-07-30T00:00:00"/>
    <d v="2025-08-13T00:00:00"/>
    <x v="2"/>
    <x v="1"/>
    <n v="1835.46"/>
    <n v="1835.46"/>
    <x v="1"/>
    <x v="0"/>
    <x v="0"/>
    <s v="K. Brown"/>
    <n v="0"/>
    <n v="44"/>
    <x v="1"/>
    <x v="1"/>
    <s v="Jun"/>
    <x v="3"/>
  </r>
  <r>
    <s v="INV-1043"/>
    <s v="Trinity Wellness"/>
    <d v="2025-06-30T00:00:00"/>
    <d v="2025-07-30T00:00:00"/>
    <m/>
    <x v="4"/>
    <x v="4"/>
    <n v="978.46"/>
    <n v="715.59"/>
    <x v="2"/>
    <x v="1"/>
    <x v="3"/>
    <s v="K. Brown"/>
    <n v="262.87"/>
    <s v=""/>
    <x v="28"/>
    <x v="0"/>
    <s v="Jun"/>
    <x v="3"/>
  </r>
  <r>
    <s v="INV-1018"/>
    <s v="Valley Care Center"/>
    <d v="2025-07-01T00:00:00"/>
    <d v="2025-07-31T00:00:00"/>
    <d v="2025-07-13T00:00:00"/>
    <x v="1"/>
    <x v="4"/>
    <n v="7618.04"/>
    <n v="7618.04"/>
    <x v="1"/>
    <x v="0"/>
    <x v="0"/>
    <s v="S. Patel"/>
    <n v="0"/>
    <n v="12"/>
    <x v="1"/>
    <x v="1"/>
    <s v="Jul"/>
    <x v="4"/>
  </r>
  <r>
    <s v="INV-1252"/>
    <s v="NorthStar Clinic"/>
    <d v="2025-07-02T00:00:00"/>
    <d v="2025-08-01T00:00:00"/>
    <d v="2025-07-13T00:00:00"/>
    <x v="4"/>
    <x v="5"/>
    <n v="2241.23"/>
    <n v="2241.23"/>
    <x v="1"/>
    <x v="0"/>
    <x v="0"/>
    <s v="J. Smith"/>
    <n v="0"/>
    <n v="11"/>
    <x v="1"/>
    <x v="1"/>
    <s v="Jul"/>
    <x v="4"/>
  </r>
  <r>
    <s v="INV-1229"/>
    <s v="Summit Health"/>
    <d v="2025-07-03T00:00:00"/>
    <d v="2025-08-02T00:00:00"/>
    <d v="2025-08-01T00:00:00"/>
    <x v="1"/>
    <x v="1"/>
    <n v="1896.06"/>
    <n v="1896.06"/>
    <x v="1"/>
    <x v="0"/>
    <x v="0"/>
    <s v="S. Patel"/>
    <n v="0"/>
    <n v="29"/>
    <x v="1"/>
    <x v="1"/>
    <s v="Jul"/>
    <x v="4"/>
  </r>
  <r>
    <s v="INV-1026"/>
    <s v="Oak Health Group"/>
    <d v="2025-07-06T00:00:00"/>
    <d v="2025-08-05T00:00:00"/>
    <d v="2025-07-29T00:00:00"/>
    <x v="4"/>
    <x v="4"/>
    <n v="4030.02"/>
    <n v="4030.02"/>
    <x v="1"/>
    <x v="0"/>
    <x v="0"/>
    <s v="S. Patel"/>
    <n v="0"/>
    <n v="23"/>
    <x v="1"/>
    <x v="1"/>
    <s v="Jul"/>
    <x v="4"/>
  </r>
  <r>
    <s v="INV-1014"/>
    <s v="Hillcrest Diagnostics"/>
    <d v="2025-07-07T00:00:00"/>
    <d v="2025-08-06T00:00:00"/>
    <d v="2025-08-25T00:00:00"/>
    <x v="0"/>
    <x v="5"/>
    <n v="2634.24"/>
    <n v="1873.36"/>
    <x v="2"/>
    <x v="1"/>
    <x v="4"/>
    <s v="R. Nguyen"/>
    <n v="760.87999999999988"/>
    <n v="49"/>
    <x v="29"/>
    <x v="0"/>
    <s v="Jul"/>
    <x v="4"/>
  </r>
  <r>
    <s v="INV-1077"/>
    <s v="Lakeside Imaging"/>
    <d v="2025-07-11T00:00:00"/>
    <d v="2025-08-10T00:00:00"/>
    <d v="2025-07-24T00:00:00"/>
    <x v="2"/>
    <x v="0"/>
    <n v="1842.6"/>
    <n v="1842.6"/>
    <x v="1"/>
    <x v="1"/>
    <x v="7"/>
    <s v="S. Patel"/>
    <n v="0"/>
    <n v="13"/>
    <x v="1"/>
    <x v="1"/>
    <s v="Jul"/>
    <x v="4"/>
  </r>
  <r>
    <s v="INV-1012"/>
    <s v="Westgate Family Health"/>
    <d v="2025-07-13T00:00:00"/>
    <d v="2025-08-12T00:00:00"/>
    <d v="2025-08-22T00:00:00"/>
    <x v="0"/>
    <x v="2"/>
    <n v="2097.6"/>
    <n v="2097.6"/>
    <x v="1"/>
    <x v="0"/>
    <x v="0"/>
    <s v="S. Patel"/>
    <n v="0"/>
    <n v="40"/>
    <x v="1"/>
    <x v="1"/>
    <s v="Jul"/>
    <x v="4"/>
  </r>
  <r>
    <s v="INV-1029"/>
    <s v="Evergreen Pediatrics"/>
    <d v="2025-07-14T00:00:00"/>
    <d v="2025-08-13T00:00:00"/>
    <d v="2025-08-19T00:00:00"/>
    <x v="3"/>
    <x v="0"/>
    <n v="1832.5"/>
    <n v="1185.8499999999999"/>
    <x v="2"/>
    <x v="0"/>
    <x v="0"/>
    <s v="K. Brown"/>
    <n v="646.65000000000009"/>
    <n v="36"/>
    <x v="30"/>
    <x v="0"/>
    <s v="Jul"/>
    <x v="4"/>
  </r>
  <r>
    <s v="INV-1212"/>
    <s v="Trinity Wellness"/>
    <d v="2025-07-14T00:00:00"/>
    <d v="2025-08-13T00:00:00"/>
    <d v="2025-08-14T00:00:00"/>
    <x v="2"/>
    <x v="2"/>
    <n v="680.97"/>
    <n v="680.97"/>
    <x v="1"/>
    <x v="0"/>
    <x v="0"/>
    <s v="M. Diaz"/>
    <n v="0"/>
    <n v="31"/>
    <x v="1"/>
    <x v="1"/>
    <s v="Jul"/>
    <x v="4"/>
  </r>
  <r>
    <s v="INV-1044"/>
    <s v="Summit Health"/>
    <d v="2025-07-15T00:00:00"/>
    <d v="2025-08-14T00:00:00"/>
    <d v="2025-08-04T00:00:00"/>
    <x v="4"/>
    <x v="1"/>
    <n v="2727.47"/>
    <n v="2727.47"/>
    <x v="1"/>
    <x v="0"/>
    <x v="0"/>
    <s v="J. Smith"/>
    <n v="0"/>
    <n v="20"/>
    <x v="1"/>
    <x v="1"/>
    <s v="Jul"/>
    <x v="4"/>
  </r>
  <r>
    <s v="INV-1092"/>
    <s v="Evergreen Pediatrics"/>
    <d v="2025-07-18T00:00:00"/>
    <d v="2025-08-17T00:00:00"/>
    <d v="2025-09-11T00:00:00"/>
    <x v="0"/>
    <x v="3"/>
    <n v="4614.5200000000004"/>
    <n v="4614.5200000000004"/>
    <x v="1"/>
    <x v="0"/>
    <x v="0"/>
    <s v="K. Brown"/>
    <n v="0"/>
    <n v="55"/>
    <x v="1"/>
    <x v="1"/>
    <s v="Jul"/>
    <x v="4"/>
  </r>
  <r>
    <s v="INV-1116"/>
    <s v="Evergreen Pediatrics"/>
    <d v="2025-07-19T00:00:00"/>
    <d v="2025-08-18T00:00:00"/>
    <m/>
    <x v="1"/>
    <x v="3"/>
    <n v="7270.83"/>
    <n v="0"/>
    <x v="0"/>
    <x v="0"/>
    <x v="0"/>
    <s v="R. Nguyen"/>
    <n v="7270.83"/>
    <s v=""/>
    <x v="31"/>
    <x v="0"/>
    <s v="Jul"/>
    <x v="4"/>
  </r>
  <r>
    <s v="INV-1255"/>
    <s v="Valley Care Center"/>
    <d v="2025-07-19T00:00:00"/>
    <d v="2025-08-18T00:00:00"/>
    <m/>
    <x v="1"/>
    <x v="3"/>
    <n v="8061.77"/>
    <n v="0"/>
    <x v="0"/>
    <x v="1"/>
    <x v="4"/>
    <s v="S. Patel"/>
    <n v="8061.77"/>
    <s v=""/>
    <x v="31"/>
    <x v="0"/>
    <s v="Jul"/>
    <x v="4"/>
  </r>
  <r>
    <s v="INV-1076"/>
    <s v="Metro Family Care"/>
    <d v="2025-07-21T00:00:00"/>
    <d v="2025-08-20T00:00:00"/>
    <d v="2025-08-29T00:00:00"/>
    <x v="3"/>
    <x v="4"/>
    <n v="4902.92"/>
    <n v="3729.02"/>
    <x v="2"/>
    <x v="1"/>
    <x v="3"/>
    <s v="K. Brown"/>
    <n v="1173.9000000000001"/>
    <n v="39"/>
    <x v="32"/>
    <x v="0"/>
    <s v="Jul"/>
    <x v="4"/>
  </r>
  <r>
    <s v="INV-1082"/>
    <s v="Canyon Creek Medical"/>
    <d v="2025-07-23T00:00:00"/>
    <d v="2025-08-22T00:00:00"/>
    <d v="2025-08-17T00:00:00"/>
    <x v="1"/>
    <x v="4"/>
    <n v="2437.88"/>
    <n v="2437.88"/>
    <x v="1"/>
    <x v="1"/>
    <x v="7"/>
    <s v="M. Diaz"/>
    <n v="0"/>
    <n v="25"/>
    <x v="1"/>
    <x v="1"/>
    <s v="Jul"/>
    <x v="4"/>
  </r>
  <r>
    <s v="INV-1211"/>
    <s v="Blue Ridge Medical"/>
    <d v="2025-07-23T00:00:00"/>
    <d v="2025-08-22T00:00:00"/>
    <d v="2025-08-27T00:00:00"/>
    <x v="3"/>
    <x v="3"/>
    <n v="6445.66"/>
    <n v="6445.66"/>
    <x v="1"/>
    <x v="1"/>
    <x v="3"/>
    <s v="R. Nguyen"/>
    <n v="0"/>
    <n v="35"/>
    <x v="1"/>
    <x v="1"/>
    <s v="Jul"/>
    <x v="4"/>
  </r>
  <r>
    <s v="INV-1059"/>
    <s v="Metro Family Care"/>
    <d v="2025-07-25T00:00:00"/>
    <d v="2025-08-24T00:00:00"/>
    <d v="2025-08-16T00:00:00"/>
    <x v="4"/>
    <x v="0"/>
    <n v="1003.36"/>
    <n v="1003.36"/>
    <x v="1"/>
    <x v="0"/>
    <x v="0"/>
    <s v="M. Diaz"/>
    <n v="0"/>
    <n v="22"/>
    <x v="1"/>
    <x v="1"/>
    <s v="Jul"/>
    <x v="4"/>
  </r>
  <r>
    <s v="INV-1117"/>
    <s v="Parkview Internal Medicine"/>
    <d v="2025-07-25T00:00:00"/>
    <d v="2025-08-24T00:00:00"/>
    <d v="2025-09-17T00:00:00"/>
    <x v="4"/>
    <x v="3"/>
    <n v="2908.24"/>
    <n v="2908.24"/>
    <x v="1"/>
    <x v="0"/>
    <x v="0"/>
    <s v="M. Diaz"/>
    <n v="0"/>
    <n v="54"/>
    <x v="1"/>
    <x v="1"/>
    <s v="Jul"/>
    <x v="4"/>
  </r>
  <r>
    <s v="INV-1213"/>
    <s v="Westgate Family Health"/>
    <d v="2025-07-26T00:00:00"/>
    <d v="2025-08-25T00:00:00"/>
    <d v="2025-09-11T00:00:00"/>
    <x v="1"/>
    <x v="2"/>
    <n v="2301.42"/>
    <n v="2301.42"/>
    <x v="1"/>
    <x v="0"/>
    <x v="0"/>
    <s v="S. Patel"/>
    <n v="0"/>
    <n v="47"/>
    <x v="1"/>
    <x v="1"/>
    <s v="Jul"/>
    <x v="4"/>
  </r>
  <r>
    <s v="INV-1226"/>
    <s v="Prime Family Clinic"/>
    <d v="2025-07-26T00:00:00"/>
    <d v="2025-08-25T00:00:00"/>
    <m/>
    <x v="1"/>
    <x v="3"/>
    <n v="5436.89"/>
    <n v="0"/>
    <x v="0"/>
    <x v="1"/>
    <x v="1"/>
    <s v="R. Nguyen"/>
    <n v="5436.89"/>
    <s v=""/>
    <x v="33"/>
    <x v="0"/>
    <s v="Jul"/>
    <x v="4"/>
  </r>
  <r>
    <s v="INV-1227"/>
    <s v="Trinity Wellness"/>
    <d v="2025-07-27T00:00:00"/>
    <d v="2025-08-26T00:00:00"/>
    <m/>
    <x v="1"/>
    <x v="0"/>
    <n v="473.86"/>
    <n v="0"/>
    <x v="0"/>
    <x v="1"/>
    <x v="4"/>
    <s v="R. Nguyen"/>
    <n v="473.86"/>
    <s v=""/>
    <x v="34"/>
    <x v="0"/>
    <s v="Jul"/>
    <x v="4"/>
  </r>
  <r>
    <s v="INV-1236"/>
    <s v="Cedar Grove Health"/>
    <d v="2025-07-30T00:00:00"/>
    <d v="2025-08-29T00:00:00"/>
    <m/>
    <x v="0"/>
    <x v="1"/>
    <n v="1630.12"/>
    <n v="0"/>
    <x v="0"/>
    <x v="0"/>
    <x v="0"/>
    <s v="A. Lopez"/>
    <n v="1630.12"/>
    <s v=""/>
    <x v="35"/>
    <x v="0"/>
    <s v="Jul"/>
    <x v="4"/>
  </r>
  <r>
    <s v="INV-1205"/>
    <s v="Evergreen Pediatrics"/>
    <d v="2025-07-31T00:00:00"/>
    <d v="2025-08-30T00:00:00"/>
    <d v="2025-08-21T00:00:00"/>
    <x v="3"/>
    <x v="5"/>
    <n v="585.73"/>
    <n v="585.73"/>
    <x v="1"/>
    <x v="0"/>
    <x v="0"/>
    <s v="R. Nguyen"/>
    <n v="0"/>
    <n v="21"/>
    <x v="1"/>
    <x v="1"/>
    <s v="Jul"/>
    <x v="4"/>
  </r>
  <r>
    <s v="INV-1250"/>
    <s v="NorthStar Clinic"/>
    <d v="2025-07-31T00:00:00"/>
    <d v="2025-08-30T00:00:00"/>
    <d v="2025-08-23T00:00:00"/>
    <x v="3"/>
    <x v="1"/>
    <n v="3585.56"/>
    <n v="3585.56"/>
    <x v="1"/>
    <x v="0"/>
    <x v="0"/>
    <s v="R. Nguyen"/>
    <n v="0"/>
    <n v="23"/>
    <x v="1"/>
    <x v="1"/>
    <s v="Jul"/>
    <x v="4"/>
  </r>
  <r>
    <s v="INV-1218"/>
    <s v="Red Oak Wellness"/>
    <d v="2025-08-01T00:00:00"/>
    <d v="2025-08-31T00:00:00"/>
    <d v="2025-08-28T00:00:00"/>
    <x v="3"/>
    <x v="5"/>
    <n v="1426.84"/>
    <n v="1426.84"/>
    <x v="1"/>
    <x v="0"/>
    <x v="0"/>
    <s v="M. Diaz"/>
    <n v="0"/>
    <n v="27"/>
    <x v="1"/>
    <x v="1"/>
    <s v="Aug"/>
    <x v="5"/>
  </r>
  <r>
    <s v="INV-1133"/>
    <s v="Hillcrest Diagnostics"/>
    <d v="2025-08-02T00:00:00"/>
    <d v="2025-09-01T00:00:00"/>
    <d v="2025-09-22T00:00:00"/>
    <x v="3"/>
    <x v="1"/>
    <n v="1022.37"/>
    <n v="1022.37"/>
    <x v="1"/>
    <x v="0"/>
    <x v="0"/>
    <s v="J. Smith"/>
    <n v="0"/>
    <n v="51"/>
    <x v="1"/>
    <x v="1"/>
    <s v="Aug"/>
    <x v="5"/>
  </r>
  <r>
    <s v="INV-1147"/>
    <s v="Horizon Medical"/>
    <d v="2025-08-02T00:00:00"/>
    <d v="2025-09-01T00:00:00"/>
    <d v="2025-09-06T00:00:00"/>
    <x v="4"/>
    <x v="4"/>
    <n v="2884.02"/>
    <n v="2884.02"/>
    <x v="1"/>
    <x v="0"/>
    <x v="0"/>
    <s v="M. Diaz"/>
    <n v="0"/>
    <n v="35"/>
    <x v="1"/>
    <x v="1"/>
    <s v="Aug"/>
    <x v="5"/>
  </r>
  <r>
    <s v="INV-1050"/>
    <s v="Hillcrest Diagnostics"/>
    <d v="2025-08-06T00:00:00"/>
    <d v="2025-09-05T00:00:00"/>
    <d v="2025-09-25T00:00:00"/>
    <x v="3"/>
    <x v="0"/>
    <n v="1833.86"/>
    <n v="1833.86"/>
    <x v="1"/>
    <x v="0"/>
    <x v="0"/>
    <s v="K. Brown"/>
    <n v="0"/>
    <n v="50"/>
    <x v="1"/>
    <x v="1"/>
    <s v="Aug"/>
    <x v="5"/>
  </r>
  <r>
    <s v="INV-1033"/>
    <s v="Hillcrest Diagnostics"/>
    <d v="2025-08-09T00:00:00"/>
    <d v="2025-09-08T00:00:00"/>
    <d v="2025-09-28T00:00:00"/>
    <x v="2"/>
    <x v="4"/>
    <n v="5956.58"/>
    <n v="5956.58"/>
    <x v="1"/>
    <x v="0"/>
    <x v="0"/>
    <s v="R. Nguyen"/>
    <n v="0"/>
    <n v="50"/>
    <x v="1"/>
    <x v="1"/>
    <s v="Aug"/>
    <x v="5"/>
  </r>
  <r>
    <s v="INV-1108"/>
    <s v="Evergreen Pediatrics"/>
    <d v="2025-08-10T00:00:00"/>
    <d v="2025-09-09T00:00:00"/>
    <d v="2025-09-05T00:00:00"/>
    <x v="3"/>
    <x v="3"/>
    <n v="6016.18"/>
    <n v="6016.18"/>
    <x v="1"/>
    <x v="0"/>
    <x v="0"/>
    <s v="J. Smith"/>
    <n v="0"/>
    <n v="26"/>
    <x v="1"/>
    <x v="1"/>
    <s v="Aug"/>
    <x v="5"/>
  </r>
  <r>
    <s v="INV-1155"/>
    <s v="Canyon Creek Medical"/>
    <d v="2025-08-13T00:00:00"/>
    <d v="2025-09-12T00:00:00"/>
    <d v="2025-09-07T00:00:00"/>
    <x v="2"/>
    <x v="4"/>
    <n v="1291.6600000000001"/>
    <n v="1291.6600000000001"/>
    <x v="1"/>
    <x v="0"/>
    <x v="0"/>
    <s v="K. Brown"/>
    <n v="0"/>
    <n v="25"/>
    <x v="1"/>
    <x v="1"/>
    <s v="Aug"/>
    <x v="5"/>
  </r>
  <r>
    <s v="INV-1004"/>
    <s v="Sunrise Medical Partners"/>
    <d v="2025-08-22T00:00:00"/>
    <d v="2025-09-21T00:00:00"/>
    <d v="2025-09-05T00:00:00"/>
    <x v="2"/>
    <x v="4"/>
    <n v="7691.93"/>
    <n v="7691.93"/>
    <x v="1"/>
    <x v="0"/>
    <x v="0"/>
    <s v="A. Lopez"/>
    <n v="0"/>
    <n v="14"/>
    <x v="1"/>
    <x v="1"/>
    <s v="Aug"/>
    <x v="5"/>
  </r>
  <r>
    <s v="INV-1005"/>
    <s v="Lakeside Imaging"/>
    <d v="2025-08-24T00:00:00"/>
    <d v="2025-09-23T00:00:00"/>
    <d v="2025-09-25T00:00:00"/>
    <x v="0"/>
    <x v="0"/>
    <n v="1905.41"/>
    <n v="1905.41"/>
    <x v="1"/>
    <x v="0"/>
    <x v="0"/>
    <s v="J. Smith"/>
    <n v="0"/>
    <n v="32"/>
    <x v="1"/>
    <x v="1"/>
    <s v="Aug"/>
    <x v="5"/>
  </r>
  <r>
    <s v="INV-1199"/>
    <s v="Hillcrest Diagnostics"/>
    <d v="2025-08-24T00:00:00"/>
    <d v="2025-09-23T00:00:00"/>
    <d v="2025-09-20T00:00:00"/>
    <x v="4"/>
    <x v="3"/>
    <n v="5784.73"/>
    <n v="4607.12"/>
    <x v="2"/>
    <x v="1"/>
    <x v="6"/>
    <s v="R. Nguyen"/>
    <n v="1177.6099999999997"/>
    <n v="27"/>
    <x v="36"/>
    <x v="0"/>
    <s v="Aug"/>
    <x v="5"/>
  </r>
  <r>
    <s v="INV-1251"/>
    <s v="Riverside Health"/>
    <d v="2025-08-25T00:00:00"/>
    <d v="2025-09-24T00:00:00"/>
    <m/>
    <x v="4"/>
    <x v="0"/>
    <n v="2362.3000000000002"/>
    <n v="1462.15"/>
    <x v="2"/>
    <x v="1"/>
    <x v="3"/>
    <s v="A. Lopez"/>
    <n v="900.15000000000009"/>
    <s v=""/>
    <x v="37"/>
    <x v="0"/>
    <s v="Aug"/>
    <x v="5"/>
  </r>
  <r>
    <s v="INV-1045"/>
    <s v="Riverside Health"/>
    <d v="2025-08-27T00:00:00"/>
    <d v="2025-09-26T00:00:00"/>
    <d v="2025-09-08T00:00:00"/>
    <x v="2"/>
    <x v="4"/>
    <n v="970.38"/>
    <n v="970.38"/>
    <x v="1"/>
    <x v="0"/>
    <x v="0"/>
    <s v="A. Lopez"/>
    <n v="0"/>
    <n v="12"/>
    <x v="1"/>
    <x v="1"/>
    <s v="Aug"/>
    <x v="5"/>
  </r>
  <r>
    <s v="INV-1046"/>
    <s v="Prime Family Clinic"/>
    <d v="2025-08-27T00:00:00"/>
    <d v="2025-09-26T00:00:00"/>
    <d v="2025-09-11T00:00:00"/>
    <x v="0"/>
    <x v="2"/>
    <n v="4424.6000000000004"/>
    <n v="4424.6000000000004"/>
    <x v="1"/>
    <x v="0"/>
    <x v="0"/>
    <s v="R. Nguyen"/>
    <n v="0"/>
    <n v="15"/>
    <x v="1"/>
    <x v="1"/>
    <s v="Aug"/>
    <x v="5"/>
  </r>
  <r>
    <s v="INV-1142"/>
    <s v="Cedar Grove Health"/>
    <d v="2025-08-27T00:00:00"/>
    <d v="2025-09-26T00:00:00"/>
    <d v="2025-10-14T00:00:00"/>
    <x v="1"/>
    <x v="4"/>
    <n v="4877.51"/>
    <n v="4877.51"/>
    <x v="1"/>
    <x v="0"/>
    <x v="0"/>
    <s v="A. Lopez"/>
    <n v="0"/>
    <n v="48"/>
    <x v="1"/>
    <x v="1"/>
    <s v="Aug"/>
    <x v="5"/>
  </r>
  <r>
    <s v="INV-1080"/>
    <s v="Cedar Grove Health"/>
    <d v="2025-08-28T00:00:00"/>
    <d v="2025-09-27T00:00:00"/>
    <d v="2025-09-12T00:00:00"/>
    <x v="3"/>
    <x v="0"/>
    <n v="853.09"/>
    <n v="853.09"/>
    <x v="1"/>
    <x v="0"/>
    <x v="0"/>
    <s v="M. Diaz"/>
    <n v="0"/>
    <n v="15"/>
    <x v="1"/>
    <x v="1"/>
    <s v="Aug"/>
    <x v="5"/>
  </r>
  <r>
    <s v="INV-1196"/>
    <s v="Pioneer Care"/>
    <d v="2025-09-02T00:00:00"/>
    <d v="2025-10-02T00:00:00"/>
    <d v="2025-10-31T00:00:00"/>
    <x v="0"/>
    <x v="4"/>
    <n v="7892.95"/>
    <n v="2097.71"/>
    <x v="2"/>
    <x v="1"/>
    <x v="3"/>
    <s v="J. Smith"/>
    <n v="5795.24"/>
    <n v="59"/>
    <x v="38"/>
    <x v="0"/>
    <s v="Sep"/>
    <x v="6"/>
  </r>
  <r>
    <s v="INV-1160"/>
    <s v="Pioneer Care"/>
    <d v="2025-09-03T00:00:00"/>
    <d v="2025-10-03T00:00:00"/>
    <d v="2025-10-21T00:00:00"/>
    <x v="2"/>
    <x v="0"/>
    <n v="1199.29"/>
    <n v="1199.29"/>
    <x v="1"/>
    <x v="0"/>
    <x v="0"/>
    <s v="K. Brown"/>
    <n v="0"/>
    <n v="48"/>
    <x v="1"/>
    <x v="1"/>
    <s v="Sep"/>
    <x v="6"/>
  </r>
  <r>
    <s v="INV-1070"/>
    <s v="Prime Family Clinic"/>
    <d v="2025-09-05T00:00:00"/>
    <d v="2025-10-05T00:00:00"/>
    <d v="2025-09-20T00:00:00"/>
    <x v="4"/>
    <x v="3"/>
    <n v="8717.1299999999992"/>
    <n v="3035.82"/>
    <x v="2"/>
    <x v="0"/>
    <x v="0"/>
    <s v="S. Patel"/>
    <n v="5681.3099999999995"/>
    <n v="15"/>
    <x v="39"/>
    <x v="0"/>
    <s v="Sep"/>
    <x v="6"/>
  </r>
  <r>
    <s v="INV-1122"/>
    <s v="Riverside Health"/>
    <d v="2025-09-05T00:00:00"/>
    <d v="2025-10-05T00:00:00"/>
    <m/>
    <x v="2"/>
    <x v="3"/>
    <n v="7614.85"/>
    <n v="0"/>
    <x v="0"/>
    <x v="1"/>
    <x v="6"/>
    <s v="K. Brown"/>
    <n v="7614.85"/>
    <s v=""/>
    <x v="39"/>
    <x v="0"/>
    <s v="Sep"/>
    <x v="6"/>
  </r>
  <r>
    <s v="INV-1185"/>
    <s v="Oak Health Group"/>
    <d v="2025-09-05T00:00:00"/>
    <d v="2025-10-05T00:00:00"/>
    <m/>
    <x v="3"/>
    <x v="2"/>
    <n v="2258.9499999999998"/>
    <n v="0"/>
    <x v="0"/>
    <x v="1"/>
    <x v="6"/>
    <s v="R. Nguyen"/>
    <n v="2258.9499999999998"/>
    <s v=""/>
    <x v="39"/>
    <x v="0"/>
    <s v="Sep"/>
    <x v="6"/>
  </r>
  <r>
    <s v="INV-1207"/>
    <s v="Trinity Wellness"/>
    <d v="2025-09-06T00:00:00"/>
    <d v="2025-10-06T00:00:00"/>
    <d v="2025-09-29T00:00:00"/>
    <x v="0"/>
    <x v="3"/>
    <n v="3689.1"/>
    <n v="3689.1"/>
    <x v="1"/>
    <x v="0"/>
    <x v="0"/>
    <s v="J. Smith"/>
    <n v="0"/>
    <n v="23"/>
    <x v="1"/>
    <x v="1"/>
    <s v="Sep"/>
    <x v="6"/>
  </r>
  <r>
    <s v="INV-1173"/>
    <s v="Metro Family Care"/>
    <d v="2025-09-08T00:00:00"/>
    <d v="2025-10-08T00:00:00"/>
    <d v="2025-10-26T00:00:00"/>
    <x v="4"/>
    <x v="5"/>
    <n v="3285.56"/>
    <n v="2381.4699999999998"/>
    <x v="2"/>
    <x v="0"/>
    <x v="0"/>
    <s v="M. Diaz"/>
    <n v="904.09000000000015"/>
    <n v="48"/>
    <x v="40"/>
    <x v="0"/>
    <s v="Sep"/>
    <x v="6"/>
  </r>
  <r>
    <s v="INV-1248"/>
    <s v="Sunrise Medical Partners"/>
    <d v="2025-09-08T00:00:00"/>
    <d v="2025-10-08T00:00:00"/>
    <d v="2025-11-03T00:00:00"/>
    <x v="3"/>
    <x v="2"/>
    <n v="2002.58"/>
    <n v="1148.6400000000001"/>
    <x v="2"/>
    <x v="0"/>
    <x v="0"/>
    <s v="K. Brown"/>
    <n v="853.93999999999983"/>
    <n v="56"/>
    <x v="40"/>
    <x v="0"/>
    <s v="Sep"/>
    <x v="6"/>
  </r>
  <r>
    <s v="INV-1223"/>
    <s v="Hillcrest Diagnostics"/>
    <d v="2025-09-09T00:00:00"/>
    <d v="2025-10-09T00:00:00"/>
    <d v="2025-11-02T00:00:00"/>
    <x v="2"/>
    <x v="4"/>
    <n v="7367.29"/>
    <n v="7367.29"/>
    <x v="1"/>
    <x v="0"/>
    <x v="0"/>
    <s v="K. Brown"/>
    <n v="0"/>
    <n v="54"/>
    <x v="1"/>
    <x v="1"/>
    <s v="Sep"/>
    <x v="6"/>
  </r>
  <r>
    <s v="INV-1087"/>
    <s v="Hillcrest Diagnostics"/>
    <d v="2025-09-11T00:00:00"/>
    <d v="2025-10-11T00:00:00"/>
    <m/>
    <x v="3"/>
    <x v="2"/>
    <n v="3940.67"/>
    <n v="0"/>
    <x v="0"/>
    <x v="1"/>
    <x v="3"/>
    <s v="M. Diaz"/>
    <n v="3940.67"/>
    <s v=""/>
    <x v="41"/>
    <x v="0"/>
    <s v="Sep"/>
    <x v="6"/>
  </r>
  <r>
    <s v="INV-1217"/>
    <s v="Pioneer Care"/>
    <d v="2025-09-18T00:00:00"/>
    <d v="2025-10-18T00:00:00"/>
    <d v="2025-10-27T00:00:00"/>
    <x v="0"/>
    <x v="1"/>
    <n v="3846.74"/>
    <n v="3846.74"/>
    <x v="1"/>
    <x v="0"/>
    <x v="0"/>
    <s v="M. Diaz"/>
    <n v="0"/>
    <n v="39"/>
    <x v="1"/>
    <x v="1"/>
    <s v="Sep"/>
    <x v="6"/>
  </r>
  <r>
    <s v="INV-1152"/>
    <s v="Metro Family Care"/>
    <d v="2025-09-19T00:00:00"/>
    <d v="2025-10-19T00:00:00"/>
    <d v="2025-11-14T00:00:00"/>
    <x v="2"/>
    <x v="1"/>
    <n v="1874.33"/>
    <n v="1065.3"/>
    <x v="2"/>
    <x v="1"/>
    <x v="5"/>
    <s v="M. Diaz"/>
    <n v="809.03"/>
    <n v="56"/>
    <x v="42"/>
    <x v="0"/>
    <s v="Sep"/>
    <x v="6"/>
  </r>
  <r>
    <s v="INV-1149"/>
    <s v="Metro Family Care"/>
    <d v="2025-09-20T00:00:00"/>
    <d v="2025-10-20T00:00:00"/>
    <d v="2025-10-25T00:00:00"/>
    <x v="1"/>
    <x v="2"/>
    <n v="2339.02"/>
    <n v="2339.02"/>
    <x v="1"/>
    <x v="0"/>
    <x v="0"/>
    <s v="J. Smith"/>
    <n v="0"/>
    <n v="35"/>
    <x v="1"/>
    <x v="1"/>
    <s v="Sep"/>
    <x v="6"/>
  </r>
  <r>
    <s v="INV-1085"/>
    <s v="Metro Family Care"/>
    <d v="2025-09-22T00:00:00"/>
    <d v="2025-10-22T00:00:00"/>
    <d v="2025-11-05T00:00:00"/>
    <x v="3"/>
    <x v="5"/>
    <n v="2351.2800000000002"/>
    <n v="2351.2800000000002"/>
    <x v="1"/>
    <x v="0"/>
    <x v="0"/>
    <s v="S. Patel"/>
    <n v="0"/>
    <n v="44"/>
    <x v="1"/>
    <x v="1"/>
    <s v="Sep"/>
    <x v="6"/>
  </r>
  <r>
    <s v="INV-1097"/>
    <s v="Oak Health Group"/>
    <d v="2025-09-23T00:00:00"/>
    <d v="2025-10-23T00:00:00"/>
    <d v="2025-11-09T00:00:00"/>
    <x v="0"/>
    <x v="5"/>
    <n v="3095.04"/>
    <n v="3095.04"/>
    <x v="1"/>
    <x v="1"/>
    <x v="1"/>
    <s v="R. Nguyen"/>
    <n v="0"/>
    <n v="47"/>
    <x v="1"/>
    <x v="1"/>
    <s v="Sep"/>
    <x v="6"/>
  </r>
  <r>
    <s v="INV-1150"/>
    <s v="Red Oak Wellness"/>
    <d v="2025-09-24T00:00:00"/>
    <d v="2025-10-24T00:00:00"/>
    <m/>
    <x v="3"/>
    <x v="0"/>
    <n v="1191.07"/>
    <n v="0"/>
    <x v="0"/>
    <x v="1"/>
    <x v="3"/>
    <s v="J. Smith"/>
    <n v="1191.07"/>
    <s v=""/>
    <x v="43"/>
    <x v="0"/>
    <s v="Sep"/>
    <x v="6"/>
  </r>
  <r>
    <s v="INV-1240"/>
    <s v="Pioneer Care"/>
    <d v="2025-09-24T00:00:00"/>
    <d v="2025-10-24T00:00:00"/>
    <d v="2025-10-25T00:00:00"/>
    <x v="0"/>
    <x v="1"/>
    <n v="4358.54"/>
    <n v="4358.54"/>
    <x v="1"/>
    <x v="0"/>
    <x v="0"/>
    <s v="M. Diaz"/>
    <n v="0"/>
    <n v="31"/>
    <x v="1"/>
    <x v="1"/>
    <s v="Sep"/>
    <x v="6"/>
  </r>
  <r>
    <s v="INV-1028"/>
    <s v="Pioneer Care"/>
    <d v="2025-09-25T00:00:00"/>
    <d v="2025-10-25T00:00:00"/>
    <m/>
    <x v="3"/>
    <x v="2"/>
    <n v="3958.6"/>
    <n v="0"/>
    <x v="0"/>
    <x v="1"/>
    <x v="2"/>
    <s v="A. Lopez"/>
    <n v="3958.6"/>
    <s v=""/>
    <x v="44"/>
    <x v="0"/>
    <s v="Sep"/>
    <x v="6"/>
  </r>
  <r>
    <s v="INV-1078"/>
    <s v="Summit Health"/>
    <d v="2025-09-25T00:00:00"/>
    <d v="2025-10-25T00:00:00"/>
    <d v="2025-11-07T00:00:00"/>
    <x v="3"/>
    <x v="3"/>
    <n v="6586.75"/>
    <n v="2014.44"/>
    <x v="2"/>
    <x v="1"/>
    <x v="5"/>
    <s v="A. Lopez"/>
    <n v="4572.3099999999995"/>
    <n v="43"/>
    <x v="44"/>
    <x v="0"/>
    <s v="Sep"/>
    <x v="6"/>
  </r>
  <r>
    <s v="INV-1096"/>
    <s v="Cedar Grove Health"/>
    <d v="2025-09-27T00:00:00"/>
    <d v="2025-10-27T00:00:00"/>
    <d v="2025-11-19T00:00:00"/>
    <x v="3"/>
    <x v="0"/>
    <n v="2379.4299999999998"/>
    <n v="1244.19"/>
    <x v="2"/>
    <x v="0"/>
    <x v="0"/>
    <s v="R. Nguyen"/>
    <n v="1135.2399999999998"/>
    <n v="53"/>
    <x v="45"/>
    <x v="0"/>
    <s v="Sep"/>
    <x v="6"/>
  </r>
  <r>
    <s v="INV-1139"/>
    <s v="Oak Health Group"/>
    <d v="2025-09-27T00:00:00"/>
    <d v="2025-10-27T00:00:00"/>
    <d v="2025-11-05T00:00:00"/>
    <x v="2"/>
    <x v="1"/>
    <n v="5300.89"/>
    <n v="3234.85"/>
    <x v="2"/>
    <x v="0"/>
    <x v="0"/>
    <s v="K. Brown"/>
    <n v="2066.0400000000004"/>
    <n v="39"/>
    <x v="45"/>
    <x v="0"/>
    <s v="Sep"/>
    <x v="6"/>
  </r>
  <r>
    <s v="INV-1198"/>
    <s v="Hillcrest Diagnostics"/>
    <d v="2025-09-27T00:00:00"/>
    <d v="2025-10-27T00:00:00"/>
    <d v="2025-11-17T00:00:00"/>
    <x v="3"/>
    <x v="3"/>
    <n v="2177.5500000000002"/>
    <n v="2177.5500000000002"/>
    <x v="1"/>
    <x v="1"/>
    <x v="4"/>
    <s v="J. Smith"/>
    <n v="0"/>
    <n v="51"/>
    <x v="1"/>
    <x v="1"/>
    <s v="Sep"/>
    <x v="6"/>
  </r>
  <r>
    <s v="INV-1258"/>
    <s v="Westgate Family Health"/>
    <d v="2025-09-28T00:00:00"/>
    <d v="2025-10-28T00:00:00"/>
    <d v="2025-11-16T00:00:00"/>
    <x v="3"/>
    <x v="3"/>
    <n v="2245.92"/>
    <n v="2245.92"/>
    <x v="1"/>
    <x v="0"/>
    <x v="0"/>
    <s v="S. Patel"/>
    <n v="0"/>
    <n v="49"/>
    <x v="1"/>
    <x v="1"/>
    <s v="Sep"/>
    <x v="6"/>
  </r>
  <r>
    <s v="INV-1055"/>
    <s v="Riverside Health"/>
    <d v="2025-09-29T00:00:00"/>
    <d v="2025-10-29T00:00:00"/>
    <d v="2025-11-17T00:00:00"/>
    <x v="0"/>
    <x v="4"/>
    <n v="5813.75"/>
    <n v="5813.75"/>
    <x v="1"/>
    <x v="0"/>
    <x v="0"/>
    <s v="R. Nguyen"/>
    <n v="0"/>
    <n v="49"/>
    <x v="1"/>
    <x v="1"/>
    <s v="Sep"/>
    <x v="6"/>
  </r>
  <r>
    <s v="INV-1119"/>
    <s v="Cedar Grove Health"/>
    <d v="2025-09-29T00:00:00"/>
    <d v="2025-10-29T00:00:00"/>
    <m/>
    <x v="4"/>
    <x v="4"/>
    <n v="6462.89"/>
    <n v="0"/>
    <x v="0"/>
    <x v="1"/>
    <x v="3"/>
    <s v="A. Lopez"/>
    <n v="6462.89"/>
    <s v=""/>
    <x v="46"/>
    <x v="0"/>
    <s v="Sep"/>
    <x v="6"/>
  </r>
  <r>
    <s v="INV-1137"/>
    <s v="Evergreen Pediatrics"/>
    <d v="2025-09-29T00:00:00"/>
    <d v="2025-10-29T00:00:00"/>
    <d v="2025-11-19T00:00:00"/>
    <x v="1"/>
    <x v="0"/>
    <n v="987.55"/>
    <n v="987.55"/>
    <x v="1"/>
    <x v="0"/>
    <x v="0"/>
    <s v="K. Brown"/>
    <n v="0"/>
    <n v="51"/>
    <x v="1"/>
    <x v="1"/>
    <s v="Sep"/>
    <x v="6"/>
  </r>
  <r>
    <s v="INV-1176"/>
    <s v="Summit Health"/>
    <d v="2025-10-01T00:00:00"/>
    <d v="2025-10-31T00:00:00"/>
    <m/>
    <x v="0"/>
    <x v="2"/>
    <n v="943.43"/>
    <n v="0"/>
    <x v="0"/>
    <x v="1"/>
    <x v="2"/>
    <s v="J. Smith"/>
    <n v="943.43"/>
    <s v=""/>
    <x v="47"/>
    <x v="0"/>
    <s v="Oct"/>
    <x v="7"/>
  </r>
  <r>
    <s v="INV-1067"/>
    <s v="Prime Family Clinic"/>
    <d v="2025-10-02T00:00:00"/>
    <d v="2025-11-01T00:00:00"/>
    <d v="2025-11-01T00:00:00"/>
    <x v="2"/>
    <x v="5"/>
    <n v="460.09"/>
    <n v="460.09"/>
    <x v="1"/>
    <x v="0"/>
    <x v="0"/>
    <s v="K. Brown"/>
    <n v="0"/>
    <n v="30"/>
    <x v="1"/>
    <x v="1"/>
    <s v="Oct"/>
    <x v="7"/>
  </r>
  <r>
    <s v="INV-1188"/>
    <s v="Canyon Creek Medical"/>
    <d v="2025-10-05T00:00:00"/>
    <d v="2025-11-04T00:00:00"/>
    <d v="2025-11-04T00:00:00"/>
    <x v="4"/>
    <x v="1"/>
    <n v="2563.1999999999998"/>
    <n v="2563.1999999999998"/>
    <x v="1"/>
    <x v="0"/>
    <x v="0"/>
    <s v="K. Brown"/>
    <n v="0"/>
    <n v="30"/>
    <x v="1"/>
    <x v="1"/>
    <s v="Oct"/>
    <x v="7"/>
  </r>
  <r>
    <s v="INV-1189"/>
    <s v="Canyon Creek Medical"/>
    <d v="2025-10-09T00:00:00"/>
    <d v="2025-11-08T00:00:00"/>
    <d v="2025-12-03T00:00:00"/>
    <x v="2"/>
    <x v="1"/>
    <n v="1097.72"/>
    <n v="1097.72"/>
    <x v="1"/>
    <x v="0"/>
    <x v="0"/>
    <s v="J. Smith"/>
    <n v="0"/>
    <n v="55"/>
    <x v="1"/>
    <x v="1"/>
    <s v="Oct"/>
    <x v="7"/>
  </r>
  <r>
    <s v="INV-1021"/>
    <s v="Lakeside Imaging"/>
    <d v="2025-10-11T00:00:00"/>
    <d v="2025-11-10T00:00:00"/>
    <d v="2025-11-25T00:00:00"/>
    <x v="0"/>
    <x v="2"/>
    <n v="1491.62"/>
    <n v="1491.62"/>
    <x v="1"/>
    <x v="1"/>
    <x v="7"/>
    <s v="J. Smith"/>
    <n v="0"/>
    <n v="45"/>
    <x v="1"/>
    <x v="1"/>
    <s v="Oct"/>
    <x v="7"/>
  </r>
  <r>
    <s v="INV-1027"/>
    <s v="Metro Family Care"/>
    <d v="2025-10-13T00:00:00"/>
    <d v="2025-11-12T00:00:00"/>
    <d v="2025-11-05T00:00:00"/>
    <x v="0"/>
    <x v="5"/>
    <n v="2421.65"/>
    <n v="2421.65"/>
    <x v="1"/>
    <x v="1"/>
    <x v="3"/>
    <s v="J. Smith"/>
    <n v="0"/>
    <n v="23"/>
    <x v="1"/>
    <x v="1"/>
    <s v="Oct"/>
    <x v="7"/>
  </r>
  <r>
    <s v="INV-1040"/>
    <s v="Pioneer Care"/>
    <d v="2025-10-13T00:00:00"/>
    <d v="2025-11-12T00:00:00"/>
    <d v="2025-12-04T00:00:00"/>
    <x v="0"/>
    <x v="1"/>
    <n v="3672.81"/>
    <n v="3672.81"/>
    <x v="1"/>
    <x v="0"/>
    <x v="0"/>
    <s v="K. Brown"/>
    <n v="0"/>
    <n v="52"/>
    <x v="1"/>
    <x v="1"/>
    <s v="Oct"/>
    <x v="7"/>
  </r>
  <r>
    <s v="INV-1145"/>
    <s v="Canyon Creek Medical"/>
    <d v="2025-10-13T00:00:00"/>
    <d v="2025-11-12T00:00:00"/>
    <d v="2025-11-08T00:00:00"/>
    <x v="3"/>
    <x v="0"/>
    <n v="1960.87"/>
    <n v="1960.87"/>
    <x v="1"/>
    <x v="0"/>
    <x v="0"/>
    <s v="A. Lopez"/>
    <n v="0"/>
    <n v="26"/>
    <x v="1"/>
    <x v="1"/>
    <s v="Oct"/>
    <x v="7"/>
  </r>
  <r>
    <s v="INV-1127"/>
    <s v="Horizon Medical"/>
    <d v="2025-10-14T00:00:00"/>
    <d v="2025-11-13T00:00:00"/>
    <d v="2025-11-10T00:00:00"/>
    <x v="3"/>
    <x v="4"/>
    <n v="1515.35"/>
    <n v="433.89"/>
    <x v="2"/>
    <x v="1"/>
    <x v="4"/>
    <s v="M. Diaz"/>
    <n v="1081.46"/>
    <n v="27"/>
    <x v="48"/>
    <x v="0"/>
    <s v="Oct"/>
    <x v="7"/>
  </r>
  <r>
    <s v="INV-1259"/>
    <s v="Metro Family Care"/>
    <d v="2025-10-17T00:00:00"/>
    <d v="2025-11-16T00:00:00"/>
    <d v="2025-12-07T00:00:00"/>
    <x v="2"/>
    <x v="5"/>
    <n v="2646.21"/>
    <n v="2646.21"/>
    <x v="1"/>
    <x v="0"/>
    <x v="0"/>
    <s v="S. Patel"/>
    <n v="0"/>
    <n v="51"/>
    <x v="1"/>
    <x v="1"/>
    <s v="Oct"/>
    <x v="7"/>
  </r>
  <r>
    <s v="INV-1034"/>
    <s v="Valley Care Center"/>
    <d v="2025-10-21T00:00:00"/>
    <d v="2025-11-20T00:00:00"/>
    <m/>
    <x v="2"/>
    <x v="5"/>
    <n v="1820.69"/>
    <n v="0"/>
    <x v="0"/>
    <x v="0"/>
    <x v="0"/>
    <s v="J. Smith"/>
    <n v="1820.69"/>
    <s v=""/>
    <x v="49"/>
    <x v="0"/>
    <s v="Oct"/>
    <x v="7"/>
  </r>
  <r>
    <s v="INV-1009"/>
    <s v="Pioneer Care"/>
    <d v="2025-10-23T00:00:00"/>
    <d v="2025-11-22T00:00:00"/>
    <d v="2025-11-03T00:00:00"/>
    <x v="3"/>
    <x v="0"/>
    <n v="1813.96"/>
    <n v="1813.96"/>
    <x v="1"/>
    <x v="0"/>
    <x v="0"/>
    <s v="R. Nguyen"/>
    <n v="0"/>
    <n v="11"/>
    <x v="1"/>
    <x v="1"/>
    <s v="Oct"/>
    <x v="7"/>
  </r>
  <r>
    <s v="INV-1169"/>
    <s v="Riverside Health"/>
    <d v="2025-10-23T00:00:00"/>
    <d v="2025-11-22T00:00:00"/>
    <m/>
    <x v="2"/>
    <x v="2"/>
    <n v="2609.84"/>
    <n v="0"/>
    <x v="0"/>
    <x v="0"/>
    <x v="0"/>
    <s v="S. Patel"/>
    <n v="2609.84"/>
    <s v=""/>
    <x v="50"/>
    <x v="0"/>
    <s v="Oct"/>
    <x v="7"/>
  </r>
  <r>
    <s v="INV-1057"/>
    <s v="Trinity Wellness"/>
    <d v="2025-10-24T00:00:00"/>
    <d v="2025-11-23T00:00:00"/>
    <m/>
    <x v="0"/>
    <x v="3"/>
    <n v="3674.92"/>
    <n v="1859.67"/>
    <x v="2"/>
    <x v="1"/>
    <x v="6"/>
    <s v="S. Patel"/>
    <n v="1815.25"/>
    <s v=""/>
    <x v="51"/>
    <x v="0"/>
    <s v="Oct"/>
    <x v="7"/>
  </r>
  <r>
    <s v="INV-1075"/>
    <s v="Parkview Internal Medicine"/>
    <d v="2025-10-25T00:00:00"/>
    <d v="2025-11-24T00:00:00"/>
    <m/>
    <x v="3"/>
    <x v="1"/>
    <n v="2122.5"/>
    <n v="0"/>
    <x v="0"/>
    <x v="0"/>
    <x v="0"/>
    <s v="S. Patel"/>
    <n v="2122.5"/>
    <s v=""/>
    <x v="52"/>
    <x v="0"/>
    <s v="Oct"/>
    <x v="7"/>
  </r>
  <r>
    <s v="INV-1025"/>
    <s v="Sunrise Medical Partners"/>
    <d v="2025-10-26T00:00:00"/>
    <d v="2025-11-25T00:00:00"/>
    <d v="2025-11-24T00:00:00"/>
    <x v="1"/>
    <x v="1"/>
    <n v="5916.08"/>
    <n v="5916.08"/>
    <x v="1"/>
    <x v="0"/>
    <x v="0"/>
    <s v="R. Nguyen"/>
    <n v="0"/>
    <n v="29"/>
    <x v="1"/>
    <x v="1"/>
    <s v="Oct"/>
    <x v="7"/>
  </r>
  <r>
    <s v="INV-1107"/>
    <s v="Metro Family Care"/>
    <d v="2025-10-27T00:00:00"/>
    <d v="2025-11-26T00:00:00"/>
    <m/>
    <x v="2"/>
    <x v="0"/>
    <n v="1823.95"/>
    <n v="1388.76"/>
    <x v="2"/>
    <x v="0"/>
    <x v="0"/>
    <s v="S. Patel"/>
    <n v="435.19000000000005"/>
    <s v=""/>
    <x v="53"/>
    <x v="0"/>
    <s v="Oct"/>
    <x v="7"/>
  </r>
  <r>
    <s v="INV-1222"/>
    <s v="Canyon Creek Medical"/>
    <d v="2025-10-28T00:00:00"/>
    <d v="2025-11-27T00:00:00"/>
    <d v="2025-12-05T00:00:00"/>
    <x v="1"/>
    <x v="1"/>
    <n v="3449.02"/>
    <n v="3449.02"/>
    <x v="1"/>
    <x v="0"/>
    <x v="0"/>
    <s v="A. Lopez"/>
    <n v="0"/>
    <n v="38"/>
    <x v="1"/>
    <x v="1"/>
    <s v="Oct"/>
    <x v="7"/>
  </r>
  <r>
    <s v="INV-1024"/>
    <s v="Red Oak Wellness"/>
    <d v="2025-10-29T00:00:00"/>
    <d v="2025-11-28T00:00:00"/>
    <d v="2025-12-03T00:00:00"/>
    <x v="4"/>
    <x v="2"/>
    <n v="1261.6400000000001"/>
    <n v="1261.6400000000001"/>
    <x v="1"/>
    <x v="0"/>
    <x v="0"/>
    <s v="K. Brown"/>
    <n v="0"/>
    <n v="35"/>
    <x v="1"/>
    <x v="1"/>
    <s v="Oct"/>
    <x v="7"/>
  </r>
  <r>
    <s v="INV-1257"/>
    <s v="Westgate Family Health"/>
    <d v="2025-10-29T00:00:00"/>
    <d v="2025-11-28T00:00:00"/>
    <d v="2025-11-09T00:00:00"/>
    <x v="4"/>
    <x v="4"/>
    <n v="6974.3"/>
    <n v="6974.3"/>
    <x v="1"/>
    <x v="0"/>
    <x v="0"/>
    <s v="M. Diaz"/>
    <n v="0"/>
    <n v="11"/>
    <x v="1"/>
    <x v="1"/>
    <s v="Oct"/>
    <x v="7"/>
  </r>
  <r>
    <s v="INV-1062"/>
    <s v="Evergreen Pediatrics"/>
    <d v="2025-10-31T00:00:00"/>
    <d v="2025-11-30T00:00:00"/>
    <m/>
    <x v="1"/>
    <x v="0"/>
    <n v="1957.65"/>
    <n v="0"/>
    <x v="0"/>
    <x v="0"/>
    <x v="0"/>
    <s v="M. Diaz"/>
    <n v="1957.65"/>
    <s v=""/>
    <x v="54"/>
    <x v="0"/>
    <s v="Oct"/>
    <x v="7"/>
  </r>
  <r>
    <s v="INV-1146"/>
    <s v="Red Oak Wellness"/>
    <d v="2025-11-05T00:00:00"/>
    <d v="2025-12-05T00:00:00"/>
    <d v="2025-11-13T00:00:00"/>
    <x v="0"/>
    <x v="1"/>
    <n v="940.71"/>
    <n v="940.71"/>
    <x v="1"/>
    <x v="0"/>
    <x v="0"/>
    <s v="M. Diaz"/>
    <n v="0"/>
    <n v="8"/>
    <x v="1"/>
    <x v="1"/>
    <s v="Nov"/>
    <x v="8"/>
  </r>
  <r>
    <s v="INV-1039"/>
    <s v="Hillcrest Diagnostics"/>
    <d v="2025-11-06T00:00:00"/>
    <d v="2025-12-06T00:00:00"/>
    <d v="2025-12-21T00:00:00"/>
    <x v="2"/>
    <x v="5"/>
    <n v="2366.2800000000002"/>
    <n v="1686.38"/>
    <x v="2"/>
    <x v="1"/>
    <x v="4"/>
    <s v="J. Smith"/>
    <n v="679.90000000000009"/>
    <n v="45"/>
    <x v="55"/>
    <x v="2"/>
    <s v="Nov"/>
    <x v="8"/>
  </r>
  <r>
    <s v="INV-1134"/>
    <s v="Oak Health Group"/>
    <d v="2025-11-07T00:00:00"/>
    <d v="2025-12-07T00:00:00"/>
    <d v="2025-12-24T00:00:00"/>
    <x v="3"/>
    <x v="5"/>
    <n v="1398.55"/>
    <n v="1398.55"/>
    <x v="1"/>
    <x v="0"/>
    <x v="0"/>
    <s v="J. Smith"/>
    <n v="0"/>
    <n v="47"/>
    <x v="1"/>
    <x v="1"/>
    <s v="Nov"/>
    <x v="8"/>
  </r>
  <r>
    <s v="INV-1235"/>
    <s v="Hillcrest Diagnostics"/>
    <d v="2025-11-08T00:00:00"/>
    <d v="2025-12-08T00:00:00"/>
    <d v="2025-11-21T00:00:00"/>
    <x v="4"/>
    <x v="3"/>
    <n v="3328.13"/>
    <n v="2126.58"/>
    <x v="2"/>
    <x v="1"/>
    <x v="3"/>
    <s v="K. Brown"/>
    <n v="1201.5500000000002"/>
    <n v="13"/>
    <x v="56"/>
    <x v="2"/>
    <s v="Nov"/>
    <x v="8"/>
  </r>
  <r>
    <s v="INV-1105"/>
    <s v="Trinity Wellness"/>
    <d v="2025-11-09T00:00:00"/>
    <d v="2025-12-09T00:00:00"/>
    <d v="2025-12-15T00:00:00"/>
    <x v="1"/>
    <x v="4"/>
    <n v="7750.55"/>
    <n v="7750.55"/>
    <x v="1"/>
    <x v="0"/>
    <x v="0"/>
    <s v="S. Patel"/>
    <n v="0"/>
    <n v="36"/>
    <x v="1"/>
    <x v="1"/>
    <s v="Nov"/>
    <x v="8"/>
  </r>
  <r>
    <s v="INV-1256"/>
    <s v="Westgate Family Health"/>
    <d v="2025-11-09T00:00:00"/>
    <d v="2025-12-09T00:00:00"/>
    <d v="2025-12-14T00:00:00"/>
    <x v="1"/>
    <x v="0"/>
    <n v="1776.95"/>
    <n v="879.51"/>
    <x v="2"/>
    <x v="1"/>
    <x v="3"/>
    <s v="R. Nguyen"/>
    <n v="897.44"/>
    <n v="35"/>
    <x v="57"/>
    <x v="2"/>
    <s v="Nov"/>
    <x v="8"/>
  </r>
  <r>
    <s v="INV-1193"/>
    <s v="Pioneer Care"/>
    <d v="2025-11-11T00:00:00"/>
    <d v="2025-12-11T00:00:00"/>
    <d v="2026-01-24T00:00:00"/>
    <x v="0"/>
    <x v="2"/>
    <n v="971.04"/>
    <n v="367.77"/>
    <x v="2"/>
    <x v="0"/>
    <x v="0"/>
    <s v="S. Patel"/>
    <n v="603.27"/>
    <n v="74"/>
    <x v="58"/>
    <x v="2"/>
    <s v="Nov"/>
    <x v="8"/>
  </r>
  <r>
    <s v="INV-1159"/>
    <s v="Metro Family Care"/>
    <d v="2025-11-14T00:00:00"/>
    <d v="2025-12-14T00:00:00"/>
    <m/>
    <x v="4"/>
    <x v="5"/>
    <n v="2593.63"/>
    <n v="0"/>
    <x v="0"/>
    <x v="1"/>
    <x v="3"/>
    <s v="A. Lopez"/>
    <n v="2593.63"/>
    <s v=""/>
    <x v="59"/>
    <x v="2"/>
    <s v="Nov"/>
    <x v="8"/>
  </r>
  <r>
    <s v="INV-1073"/>
    <s v="Metro Family Care"/>
    <d v="2025-11-15T00:00:00"/>
    <d v="2025-12-15T00:00:00"/>
    <d v="2026-01-02T00:00:00"/>
    <x v="2"/>
    <x v="5"/>
    <n v="2949.23"/>
    <n v="2949.23"/>
    <x v="1"/>
    <x v="0"/>
    <x v="0"/>
    <s v="K. Brown"/>
    <n v="0"/>
    <n v="48"/>
    <x v="1"/>
    <x v="1"/>
    <s v="Nov"/>
    <x v="8"/>
  </r>
  <r>
    <s v="INV-1102"/>
    <s v="Cedar Grove Health"/>
    <d v="2025-11-15T00:00:00"/>
    <d v="2025-12-15T00:00:00"/>
    <m/>
    <x v="2"/>
    <x v="5"/>
    <n v="2650.76"/>
    <n v="1712.3"/>
    <x v="2"/>
    <x v="0"/>
    <x v="0"/>
    <s v="M. Diaz"/>
    <n v="938.46000000000026"/>
    <s v=""/>
    <x v="60"/>
    <x v="2"/>
    <s v="Nov"/>
    <x v="8"/>
  </r>
  <r>
    <s v="INV-1164"/>
    <s v="Sunrise Medical Partners"/>
    <d v="2025-11-16T00:00:00"/>
    <d v="2025-12-16T00:00:00"/>
    <m/>
    <x v="2"/>
    <x v="5"/>
    <n v="1357.48"/>
    <n v="0"/>
    <x v="0"/>
    <x v="1"/>
    <x v="4"/>
    <s v="M. Diaz"/>
    <n v="1357.48"/>
    <s v=""/>
    <x v="61"/>
    <x v="2"/>
    <s v="Nov"/>
    <x v="8"/>
  </r>
  <r>
    <s v="INV-1237"/>
    <s v="Sunrise Medical Partners"/>
    <d v="2025-11-19T00:00:00"/>
    <d v="2025-12-19T00:00:00"/>
    <d v="2025-12-17T00:00:00"/>
    <x v="2"/>
    <x v="5"/>
    <n v="2474.69"/>
    <n v="2474.69"/>
    <x v="1"/>
    <x v="0"/>
    <x v="0"/>
    <s v="K. Brown"/>
    <n v="0"/>
    <n v="28"/>
    <x v="1"/>
    <x v="1"/>
    <s v="Nov"/>
    <x v="8"/>
  </r>
  <r>
    <s v="INV-1216"/>
    <s v="Parkview Internal Medicine"/>
    <d v="2025-11-21T00:00:00"/>
    <d v="2025-12-21T00:00:00"/>
    <d v="2025-12-19T00:00:00"/>
    <x v="3"/>
    <x v="4"/>
    <n v="7230.55"/>
    <n v="7230.55"/>
    <x v="1"/>
    <x v="0"/>
    <x v="0"/>
    <s v="S. Patel"/>
    <n v="0"/>
    <n v="28"/>
    <x v="1"/>
    <x v="1"/>
    <s v="Nov"/>
    <x v="8"/>
  </r>
  <r>
    <s v="INV-1244"/>
    <s v="Cedar Grove Health"/>
    <d v="2025-11-22T00:00:00"/>
    <d v="2025-12-22T00:00:00"/>
    <d v="2026-01-01T00:00:00"/>
    <x v="3"/>
    <x v="5"/>
    <n v="1036.74"/>
    <n v="1036.74"/>
    <x v="1"/>
    <x v="0"/>
    <x v="0"/>
    <s v="R. Nguyen"/>
    <n v="0"/>
    <n v="40"/>
    <x v="1"/>
    <x v="1"/>
    <s v="Nov"/>
    <x v="8"/>
  </r>
  <r>
    <s v="INV-1106"/>
    <s v="Oak Health Group"/>
    <d v="2025-11-25T00:00:00"/>
    <d v="2025-12-25T00:00:00"/>
    <m/>
    <x v="3"/>
    <x v="5"/>
    <n v="846.88"/>
    <n v="0"/>
    <x v="0"/>
    <x v="0"/>
    <x v="0"/>
    <s v="R. Nguyen"/>
    <n v="846.88"/>
    <s v=""/>
    <x v="62"/>
    <x v="2"/>
    <s v="Nov"/>
    <x v="8"/>
  </r>
  <r>
    <s v="INV-1132"/>
    <s v="Sunrise Medical Partners"/>
    <d v="2025-11-25T00:00:00"/>
    <d v="2025-12-25T00:00:00"/>
    <d v="2025-12-12T00:00:00"/>
    <x v="1"/>
    <x v="1"/>
    <n v="3224.1"/>
    <n v="1680.41"/>
    <x v="2"/>
    <x v="1"/>
    <x v="5"/>
    <s v="J. Smith"/>
    <n v="1543.6899999999998"/>
    <n v="17"/>
    <x v="62"/>
    <x v="2"/>
    <s v="Nov"/>
    <x v="8"/>
  </r>
  <r>
    <s v="INV-1168"/>
    <s v="Summit Health"/>
    <d v="2025-11-29T00:00:00"/>
    <d v="2025-12-29T00:00:00"/>
    <d v="2026-01-12T00:00:00"/>
    <x v="4"/>
    <x v="0"/>
    <n v="2288.7399999999998"/>
    <n v="2288.7399999999998"/>
    <x v="1"/>
    <x v="0"/>
    <x v="0"/>
    <s v="K. Brown"/>
    <n v="0"/>
    <n v="44"/>
    <x v="1"/>
    <x v="1"/>
    <s v="Nov"/>
    <x v="8"/>
  </r>
  <r>
    <s v="INV-1035"/>
    <s v="Metro Family Care"/>
    <d v="2025-12-01T00:00:00"/>
    <d v="2025-12-31T00:00:00"/>
    <d v="2026-01-01T00:00:00"/>
    <x v="4"/>
    <x v="3"/>
    <n v="2233.16"/>
    <n v="2233.16"/>
    <x v="1"/>
    <x v="1"/>
    <x v="7"/>
    <s v="M. Diaz"/>
    <n v="0"/>
    <n v="31"/>
    <x v="1"/>
    <x v="1"/>
    <s v="Dec"/>
    <x v="9"/>
  </r>
  <r>
    <s v="INV-1049"/>
    <s v="Hillcrest Diagnostics"/>
    <d v="2025-12-01T00:00:00"/>
    <d v="2025-12-31T00:00:00"/>
    <d v="2026-01-20T00:00:00"/>
    <x v="4"/>
    <x v="0"/>
    <n v="453.94"/>
    <n v="294.17"/>
    <x v="2"/>
    <x v="1"/>
    <x v="4"/>
    <s v="K. Brown"/>
    <n v="159.76999999999998"/>
    <n v="50"/>
    <x v="63"/>
    <x v="2"/>
    <s v="Dec"/>
    <x v="9"/>
  </r>
  <r>
    <s v="INV-1063"/>
    <s v="Sunrise Medical Partners"/>
    <d v="2025-12-01T00:00:00"/>
    <d v="2025-12-31T00:00:00"/>
    <d v="2026-01-02T00:00:00"/>
    <x v="0"/>
    <x v="3"/>
    <n v="5008.1899999999996"/>
    <n v="5008.1899999999996"/>
    <x v="1"/>
    <x v="0"/>
    <x v="0"/>
    <s v="A. Lopez"/>
    <n v="0"/>
    <n v="32"/>
    <x v="1"/>
    <x v="1"/>
    <s v="Dec"/>
    <x v="9"/>
  </r>
  <r>
    <s v="INV-1103"/>
    <s v="Riverside Health"/>
    <d v="2025-12-01T00:00:00"/>
    <d v="2025-12-31T00:00:00"/>
    <d v="2025-12-29T00:00:00"/>
    <x v="3"/>
    <x v="0"/>
    <n v="1514.22"/>
    <n v="1514.22"/>
    <x v="1"/>
    <x v="0"/>
    <x v="0"/>
    <s v="M. Diaz"/>
    <n v="0"/>
    <n v="28"/>
    <x v="1"/>
    <x v="1"/>
    <s v="Dec"/>
    <x v="9"/>
  </r>
  <r>
    <s v="INV-1247"/>
    <s v="Metro Family Care"/>
    <d v="2025-12-03T00:00:00"/>
    <d v="2026-01-02T00:00:00"/>
    <d v="2026-01-21T00:00:00"/>
    <x v="1"/>
    <x v="5"/>
    <n v="498.38"/>
    <n v="498.38"/>
    <x v="1"/>
    <x v="0"/>
    <x v="0"/>
    <s v="K. Brown"/>
    <n v="0"/>
    <n v="49"/>
    <x v="1"/>
    <x v="1"/>
    <s v="Dec"/>
    <x v="9"/>
  </r>
  <r>
    <s v="INV-1041"/>
    <s v="Trinity Wellness"/>
    <d v="2025-12-05T00:00:00"/>
    <d v="2026-01-04T00:00:00"/>
    <d v="2025-12-15T00:00:00"/>
    <x v="1"/>
    <x v="0"/>
    <n v="1515.56"/>
    <n v="1515.56"/>
    <x v="1"/>
    <x v="1"/>
    <x v="1"/>
    <s v="S. Patel"/>
    <n v="0"/>
    <n v="10"/>
    <x v="1"/>
    <x v="1"/>
    <s v="Dec"/>
    <x v="9"/>
  </r>
  <r>
    <s v="INV-1135"/>
    <s v="Red Oak Wellness"/>
    <d v="2025-12-06T00:00:00"/>
    <d v="2026-01-05T00:00:00"/>
    <d v="2025-12-20T00:00:00"/>
    <x v="2"/>
    <x v="2"/>
    <n v="2622.23"/>
    <n v="2622.23"/>
    <x v="1"/>
    <x v="0"/>
    <x v="0"/>
    <s v="S. Patel"/>
    <n v="0"/>
    <n v="14"/>
    <x v="1"/>
    <x v="1"/>
    <s v="Dec"/>
    <x v="9"/>
  </r>
  <r>
    <s v="INV-1175"/>
    <s v="Trinity Wellness"/>
    <d v="2025-12-06T00:00:00"/>
    <d v="2026-01-05T00:00:00"/>
    <d v="2025-12-17T00:00:00"/>
    <x v="0"/>
    <x v="3"/>
    <n v="2067.2600000000002"/>
    <n v="2067.2600000000002"/>
    <x v="1"/>
    <x v="0"/>
    <x v="0"/>
    <s v="K. Brown"/>
    <n v="0"/>
    <n v="11"/>
    <x v="1"/>
    <x v="1"/>
    <s v="Dec"/>
    <x v="9"/>
  </r>
  <r>
    <s v="INV-1006"/>
    <s v="Metro Family Care"/>
    <d v="2025-12-08T00:00:00"/>
    <d v="2026-01-07T00:00:00"/>
    <d v="2025-12-20T00:00:00"/>
    <x v="2"/>
    <x v="1"/>
    <n v="5392.89"/>
    <n v="5392.89"/>
    <x v="1"/>
    <x v="0"/>
    <x v="0"/>
    <s v="S. Patel"/>
    <n v="0"/>
    <n v="12"/>
    <x v="1"/>
    <x v="1"/>
    <s v="Dec"/>
    <x v="9"/>
  </r>
  <r>
    <s v="INV-1197"/>
    <s v="Riverside Health"/>
    <d v="2025-12-08T00:00:00"/>
    <d v="2026-01-07T00:00:00"/>
    <d v="2026-01-15T00:00:00"/>
    <x v="4"/>
    <x v="3"/>
    <n v="1712.84"/>
    <n v="1712.84"/>
    <x v="1"/>
    <x v="0"/>
    <x v="0"/>
    <s v="J. Smith"/>
    <n v="0"/>
    <n v="38"/>
    <x v="1"/>
    <x v="1"/>
    <s v="Dec"/>
    <x v="9"/>
  </r>
  <r>
    <s v="INV-1129"/>
    <s v="Trinity Wellness"/>
    <d v="2025-12-15T00:00:00"/>
    <d v="2026-01-14T00:00:00"/>
    <d v="2026-01-13T00:00:00"/>
    <x v="4"/>
    <x v="5"/>
    <n v="1042.19"/>
    <n v="1042.19"/>
    <x v="1"/>
    <x v="0"/>
    <x v="0"/>
    <s v="S. Patel"/>
    <n v="0"/>
    <n v="29"/>
    <x v="1"/>
    <x v="1"/>
    <s v="Dec"/>
    <x v="9"/>
  </r>
  <r>
    <s v="INV-1144"/>
    <s v="Cedar Grove Health"/>
    <d v="2025-12-16T00:00:00"/>
    <d v="2026-01-15T00:00:00"/>
    <d v="2026-02-28T00:00:00"/>
    <x v="0"/>
    <x v="5"/>
    <n v="882.3"/>
    <n v="364.62"/>
    <x v="2"/>
    <x v="1"/>
    <x v="5"/>
    <s v="J. Smith"/>
    <n v="517.67999999999995"/>
    <n v="74"/>
    <x v="64"/>
    <x v="3"/>
    <s v="Dec"/>
    <x v="9"/>
  </r>
  <r>
    <s v="INV-1191"/>
    <s v="Evergreen Pediatrics"/>
    <d v="2025-12-16T00:00:00"/>
    <d v="2026-01-15T00:00:00"/>
    <m/>
    <x v="1"/>
    <x v="3"/>
    <n v="6496.68"/>
    <n v="0"/>
    <x v="0"/>
    <x v="1"/>
    <x v="2"/>
    <s v="A. Lopez"/>
    <n v="6496.68"/>
    <s v=""/>
    <x v="64"/>
    <x v="3"/>
    <s v="Dec"/>
    <x v="9"/>
  </r>
  <r>
    <s v="INV-1032"/>
    <s v="Oak Health Group"/>
    <d v="2025-12-17T00:00:00"/>
    <d v="2026-01-16T00:00:00"/>
    <d v="2026-01-30T00:00:00"/>
    <x v="4"/>
    <x v="3"/>
    <n v="1509.98"/>
    <n v="1509.98"/>
    <x v="1"/>
    <x v="0"/>
    <x v="0"/>
    <s v="S. Patel"/>
    <n v="0"/>
    <n v="44"/>
    <x v="1"/>
    <x v="1"/>
    <s v="Dec"/>
    <x v="9"/>
  </r>
  <r>
    <s v="INV-1115"/>
    <s v="Evergreen Pediatrics"/>
    <d v="2025-12-18T00:00:00"/>
    <d v="2026-01-17T00:00:00"/>
    <d v="2026-02-06T00:00:00"/>
    <x v="2"/>
    <x v="3"/>
    <n v="8943"/>
    <n v="8943"/>
    <x v="1"/>
    <x v="0"/>
    <x v="0"/>
    <s v="M. Diaz"/>
    <n v="0"/>
    <n v="50"/>
    <x v="1"/>
    <x v="1"/>
    <s v="Dec"/>
    <x v="9"/>
  </r>
  <r>
    <s v="INV-1158"/>
    <s v="Riverside Health"/>
    <d v="2025-12-18T00:00:00"/>
    <d v="2026-01-17T00:00:00"/>
    <d v="2026-01-16T00:00:00"/>
    <x v="4"/>
    <x v="0"/>
    <n v="1346.38"/>
    <n v="1346.38"/>
    <x v="1"/>
    <x v="1"/>
    <x v="3"/>
    <s v="S. Patel"/>
    <n v="0"/>
    <n v="29"/>
    <x v="1"/>
    <x v="1"/>
    <s v="Dec"/>
    <x v="9"/>
  </r>
  <r>
    <s v="INV-1084"/>
    <s v="NorthStar Clinic"/>
    <d v="2025-12-19T00:00:00"/>
    <d v="2026-01-18T00:00:00"/>
    <d v="2026-01-03T00:00:00"/>
    <x v="2"/>
    <x v="2"/>
    <n v="2261.88"/>
    <n v="2261.88"/>
    <x v="1"/>
    <x v="1"/>
    <x v="4"/>
    <s v="K. Brown"/>
    <n v="0"/>
    <n v="15"/>
    <x v="1"/>
    <x v="1"/>
    <s v="Dec"/>
    <x v="9"/>
  </r>
  <r>
    <s v="INV-1071"/>
    <s v="Valley Care Center"/>
    <d v="2025-12-20T00:00:00"/>
    <d v="2026-01-19T00:00:00"/>
    <d v="2026-01-12T00:00:00"/>
    <x v="3"/>
    <x v="2"/>
    <n v="1293.32"/>
    <n v="1293.32"/>
    <x v="1"/>
    <x v="0"/>
    <x v="0"/>
    <s v="R. Nguyen"/>
    <n v="0"/>
    <n v="23"/>
    <x v="1"/>
    <x v="1"/>
    <s v="Dec"/>
    <x v="9"/>
  </r>
  <r>
    <s v="INV-1177"/>
    <s v="Hillcrest Diagnostics"/>
    <d v="2025-12-20T00:00:00"/>
    <d v="2026-01-19T00:00:00"/>
    <d v="2026-02-02T00:00:00"/>
    <x v="4"/>
    <x v="1"/>
    <n v="2243.7399999999998"/>
    <n v="2243.7399999999998"/>
    <x v="1"/>
    <x v="0"/>
    <x v="0"/>
    <s v="A. Lopez"/>
    <n v="0"/>
    <n v="44"/>
    <x v="1"/>
    <x v="1"/>
    <s v="Dec"/>
    <x v="9"/>
  </r>
  <r>
    <s v="INV-1254"/>
    <s v="Summit Health"/>
    <d v="2025-12-20T00:00:00"/>
    <d v="2026-01-19T00:00:00"/>
    <d v="2026-02-22T00:00:00"/>
    <x v="2"/>
    <x v="3"/>
    <n v="7225.8"/>
    <n v="6079.91"/>
    <x v="2"/>
    <x v="1"/>
    <x v="2"/>
    <s v="S. Patel"/>
    <n v="1145.8900000000003"/>
    <n v="64"/>
    <x v="65"/>
    <x v="3"/>
    <s v="Dec"/>
    <x v="9"/>
  </r>
  <r>
    <s v="INV-1209"/>
    <s v="Cedar Grove Health"/>
    <d v="2025-12-21T00:00:00"/>
    <d v="2026-01-20T00:00:00"/>
    <d v="2026-01-17T00:00:00"/>
    <x v="2"/>
    <x v="4"/>
    <n v="4387.51"/>
    <n v="4387.51"/>
    <x v="1"/>
    <x v="0"/>
    <x v="0"/>
    <s v="A. Lopez"/>
    <n v="0"/>
    <n v="27"/>
    <x v="1"/>
    <x v="1"/>
    <s v="Dec"/>
    <x v="9"/>
  </r>
  <r>
    <s v="INV-1052"/>
    <s v="Sunrise Medical Partners"/>
    <d v="2025-12-22T00:00:00"/>
    <d v="2026-01-21T00:00:00"/>
    <d v="2026-01-29T00:00:00"/>
    <x v="0"/>
    <x v="1"/>
    <n v="3164.44"/>
    <n v="3164.44"/>
    <x v="1"/>
    <x v="0"/>
    <x v="0"/>
    <s v="M. Diaz"/>
    <n v="0"/>
    <n v="38"/>
    <x v="1"/>
    <x v="1"/>
    <s v="Dec"/>
    <x v="9"/>
  </r>
  <r>
    <s v="INV-1112"/>
    <s v="Parkview Internal Medicine"/>
    <d v="2025-12-24T00:00:00"/>
    <d v="2026-01-23T00:00:00"/>
    <d v="2026-01-30T00:00:00"/>
    <x v="4"/>
    <x v="4"/>
    <n v="5392.91"/>
    <n v="5392.91"/>
    <x v="1"/>
    <x v="0"/>
    <x v="0"/>
    <s v="K. Brown"/>
    <n v="0"/>
    <n v="37"/>
    <x v="1"/>
    <x v="1"/>
    <s v="Dec"/>
    <x v="9"/>
  </r>
  <r>
    <s v="INV-1002"/>
    <s v="Metro Family Care"/>
    <d v="2025-12-28T00:00:00"/>
    <d v="2026-01-27T00:00:00"/>
    <d v="2026-02-09T00:00:00"/>
    <x v="3"/>
    <x v="5"/>
    <n v="690.46"/>
    <n v="690.46"/>
    <x v="1"/>
    <x v="0"/>
    <x v="0"/>
    <s v="J. Smith"/>
    <n v="0"/>
    <n v="43"/>
    <x v="1"/>
    <x v="1"/>
    <s v="Dec"/>
    <x v="9"/>
  </r>
  <r>
    <s v="INV-1202"/>
    <s v="Pioneer Care"/>
    <d v="2025-12-29T00:00:00"/>
    <d v="2026-01-28T00:00:00"/>
    <d v="2026-01-13T00:00:00"/>
    <x v="0"/>
    <x v="4"/>
    <n v="5542.88"/>
    <n v="4187.75"/>
    <x v="2"/>
    <x v="0"/>
    <x v="0"/>
    <s v="A. Lopez"/>
    <n v="1355.13"/>
    <n v="15"/>
    <x v="66"/>
    <x v="3"/>
    <s v="Dec"/>
    <x v="9"/>
  </r>
  <r>
    <s v="INV-1163"/>
    <s v="Trinity Wellness"/>
    <d v="2025-12-30T00:00:00"/>
    <d v="2026-01-29T00:00:00"/>
    <d v="2026-01-22T00:00:00"/>
    <x v="1"/>
    <x v="0"/>
    <n v="1128.69"/>
    <n v="735.98"/>
    <x v="2"/>
    <x v="0"/>
    <x v="0"/>
    <s v="S. Patel"/>
    <n v="392.71000000000004"/>
    <n v="23"/>
    <x v="67"/>
    <x v="3"/>
    <s v="Dec"/>
    <x v="9"/>
  </r>
  <r>
    <s v="INV-1130"/>
    <s v="Trinity Wellness"/>
    <d v="2025-12-31T00:00:00"/>
    <d v="2026-01-30T00:00:00"/>
    <d v="2026-01-15T00:00:00"/>
    <x v="1"/>
    <x v="0"/>
    <n v="2472.56"/>
    <n v="2472.56"/>
    <x v="1"/>
    <x v="0"/>
    <x v="0"/>
    <s v="A. Lopez"/>
    <n v="0"/>
    <n v="15"/>
    <x v="1"/>
    <x v="1"/>
    <s v="Dec"/>
    <x v="9"/>
  </r>
  <r>
    <s v="INV-1219"/>
    <s v="NorthStar Clinic"/>
    <d v="2025-12-31T00:00:00"/>
    <d v="2026-01-30T00:00:00"/>
    <d v="2026-02-02T00:00:00"/>
    <x v="3"/>
    <x v="0"/>
    <n v="2022.39"/>
    <n v="1380.97"/>
    <x v="2"/>
    <x v="0"/>
    <x v="0"/>
    <s v="R. Nguyen"/>
    <n v="641.42000000000007"/>
    <n v="33"/>
    <x v="68"/>
    <x v="3"/>
    <s v="Dec"/>
    <x v="9"/>
  </r>
  <r>
    <s v="INV-1260"/>
    <s v="Canyon Creek Medical"/>
    <d v="2026-01-03T00:00:00"/>
    <d v="2026-02-02T00:00:00"/>
    <d v="2026-01-24T00:00:00"/>
    <x v="1"/>
    <x v="5"/>
    <n v="2894.42"/>
    <n v="2894.42"/>
    <x v="1"/>
    <x v="0"/>
    <x v="0"/>
    <s v="A. Lopez"/>
    <n v="0"/>
    <n v="21"/>
    <x v="1"/>
    <x v="1"/>
    <s v="Jan"/>
    <x v="10"/>
  </r>
  <r>
    <s v="INV-1093"/>
    <s v="Cedar Grove Health"/>
    <d v="2026-01-04T00:00:00"/>
    <d v="2026-02-03T00:00:00"/>
    <d v="2026-02-19T00:00:00"/>
    <x v="2"/>
    <x v="5"/>
    <n v="1109.67"/>
    <n v="668.33"/>
    <x v="2"/>
    <x v="0"/>
    <x v="0"/>
    <s v="J. Smith"/>
    <n v="441.34000000000003"/>
    <n v="46"/>
    <x v="69"/>
    <x v="4"/>
    <s v="Jan"/>
    <x v="10"/>
  </r>
  <r>
    <s v="INV-1048"/>
    <s v="Sunrise Medical Partners"/>
    <d v="2026-01-05T00:00:00"/>
    <d v="2026-02-04T00:00:00"/>
    <d v="2026-01-13T00:00:00"/>
    <x v="0"/>
    <x v="5"/>
    <n v="3188.46"/>
    <n v="3188.46"/>
    <x v="1"/>
    <x v="1"/>
    <x v="4"/>
    <s v="K. Brown"/>
    <n v="0"/>
    <n v="8"/>
    <x v="1"/>
    <x v="1"/>
    <s v="Jan"/>
    <x v="10"/>
  </r>
  <r>
    <s v="INV-1206"/>
    <s v="Cedar Grove Health"/>
    <d v="2026-01-05T00:00:00"/>
    <d v="2026-02-04T00:00:00"/>
    <m/>
    <x v="4"/>
    <x v="0"/>
    <n v="1002.5"/>
    <n v="0"/>
    <x v="0"/>
    <x v="1"/>
    <x v="4"/>
    <s v="R. Nguyen"/>
    <n v="1002.5"/>
    <s v=""/>
    <x v="70"/>
    <x v="4"/>
    <s v="Jan"/>
    <x v="10"/>
  </r>
  <r>
    <s v="INV-1088"/>
    <s v="Blue Ridge Medical"/>
    <d v="2026-01-07T00:00:00"/>
    <d v="2026-02-06T00:00:00"/>
    <d v="2026-03-12T00:00:00"/>
    <x v="1"/>
    <x v="4"/>
    <n v="2319.38"/>
    <n v="1348.01"/>
    <x v="2"/>
    <x v="1"/>
    <x v="2"/>
    <s v="R. Nguyen"/>
    <n v="971.37000000000012"/>
    <n v="64"/>
    <x v="71"/>
    <x v="4"/>
    <s v="Jan"/>
    <x v="10"/>
  </r>
  <r>
    <s v="INV-1224"/>
    <s v="Prime Family Clinic"/>
    <d v="2026-01-07T00:00:00"/>
    <d v="2026-02-06T00:00:00"/>
    <d v="2026-02-03T00:00:00"/>
    <x v="3"/>
    <x v="4"/>
    <n v="2808.85"/>
    <n v="2808.85"/>
    <x v="1"/>
    <x v="0"/>
    <x v="0"/>
    <s v="A. Lopez"/>
    <n v="0"/>
    <n v="27"/>
    <x v="1"/>
    <x v="1"/>
    <s v="Jan"/>
    <x v="10"/>
  </r>
  <r>
    <s v="INV-1157"/>
    <s v="Metro Family Care"/>
    <d v="2026-01-09T00:00:00"/>
    <d v="2026-02-08T00:00:00"/>
    <d v="2026-01-19T00:00:00"/>
    <x v="0"/>
    <x v="3"/>
    <n v="4809.1499999999996"/>
    <n v="4809.1499999999996"/>
    <x v="1"/>
    <x v="0"/>
    <x v="0"/>
    <s v="K. Brown"/>
    <n v="0"/>
    <n v="10"/>
    <x v="1"/>
    <x v="1"/>
    <s v="Jan"/>
    <x v="10"/>
  </r>
  <r>
    <s v="INV-1098"/>
    <s v="Parkview Internal Medicine"/>
    <d v="2026-01-15T00:00:00"/>
    <d v="2026-02-14T00:00:00"/>
    <d v="2026-03-08T00:00:00"/>
    <x v="3"/>
    <x v="5"/>
    <n v="1227.8699999999999"/>
    <n v="1227.8699999999999"/>
    <x v="1"/>
    <x v="0"/>
    <x v="0"/>
    <s v="A. Lopez"/>
    <n v="0"/>
    <n v="52"/>
    <x v="1"/>
    <x v="1"/>
    <s v="Jan"/>
    <x v="10"/>
  </r>
  <r>
    <s v="INV-1118"/>
    <s v="Trinity Wellness"/>
    <d v="2026-01-16T00:00:00"/>
    <d v="2026-02-15T00:00:00"/>
    <d v="2026-03-06T00:00:00"/>
    <x v="1"/>
    <x v="1"/>
    <n v="908.94"/>
    <n v="626.64"/>
    <x v="2"/>
    <x v="1"/>
    <x v="4"/>
    <s v="R. Nguyen"/>
    <n v="282.30000000000007"/>
    <n v="49"/>
    <x v="72"/>
    <x v="4"/>
    <s v="Jan"/>
    <x v="10"/>
  </r>
  <r>
    <s v="INV-1204"/>
    <s v="Parkview Internal Medicine"/>
    <d v="2026-01-16T00:00:00"/>
    <d v="2026-02-15T00:00:00"/>
    <d v="2026-03-08T00:00:00"/>
    <x v="0"/>
    <x v="0"/>
    <n v="2404.63"/>
    <n v="2404.63"/>
    <x v="1"/>
    <x v="0"/>
    <x v="0"/>
    <s v="R. Nguyen"/>
    <n v="0"/>
    <n v="51"/>
    <x v="1"/>
    <x v="1"/>
    <s v="Jan"/>
    <x v="10"/>
  </r>
  <r>
    <s v="INV-1220"/>
    <s v="Hillcrest Diagnostics"/>
    <d v="2026-01-17T00:00:00"/>
    <d v="2026-02-16T00:00:00"/>
    <d v="2026-03-10T00:00:00"/>
    <x v="0"/>
    <x v="2"/>
    <n v="3786.65"/>
    <n v="3786.65"/>
    <x v="1"/>
    <x v="0"/>
    <x v="0"/>
    <s v="A. Lopez"/>
    <n v="0"/>
    <n v="52"/>
    <x v="1"/>
    <x v="1"/>
    <s v="Jan"/>
    <x v="10"/>
  </r>
  <r>
    <s v="INV-1182"/>
    <s v="Parkview Internal Medicine"/>
    <d v="2026-01-18T00:00:00"/>
    <d v="2026-02-17T00:00:00"/>
    <m/>
    <x v="4"/>
    <x v="4"/>
    <n v="5955.52"/>
    <n v="0"/>
    <x v="0"/>
    <x v="1"/>
    <x v="6"/>
    <s v="J. Smith"/>
    <n v="5955.52"/>
    <s v=""/>
    <x v="73"/>
    <x v="4"/>
    <s v="Jan"/>
    <x v="10"/>
  </r>
  <r>
    <s v="INV-1095"/>
    <s v="Sunrise Medical Partners"/>
    <d v="2026-01-20T00:00:00"/>
    <d v="2026-02-19T00:00:00"/>
    <d v="2026-02-07T00:00:00"/>
    <x v="3"/>
    <x v="5"/>
    <n v="1478.68"/>
    <n v="1478.68"/>
    <x v="1"/>
    <x v="0"/>
    <x v="0"/>
    <s v="K. Brown"/>
    <n v="0"/>
    <n v="18"/>
    <x v="1"/>
    <x v="1"/>
    <s v="Jan"/>
    <x v="10"/>
  </r>
  <r>
    <s v="INV-1201"/>
    <s v="Horizon Medical"/>
    <d v="2026-01-20T00:00:00"/>
    <d v="2026-02-19T00:00:00"/>
    <d v="2026-03-10T00:00:00"/>
    <x v="0"/>
    <x v="0"/>
    <n v="1675.05"/>
    <n v="1675.05"/>
    <x v="1"/>
    <x v="0"/>
    <x v="0"/>
    <s v="A. Lopez"/>
    <n v="0"/>
    <n v="49"/>
    <x v="1"/>
    <x v="1"/>
    <s v="Jan"/>
    <x v="10"/>
  </r>
  <r>
    <s v="INV-1153"/>
    <s v="Lakeside Imaging"/>
    <d v="2026-01-25T00:00:00"/>
    <d v="2026-02-24T00:00:00"/>
    <d v="2026-03-15T00:00:00"/>
    <x v="4"/>
    <x v="4"/>
    <n v="1854.4"/>
    <n v="1854.4"/>
    <x v="1"/>
    <x v="0"/>
    <x v="0"/>
    <s v="J. Smith"/>
    <n v="0"/>
    <n v="49"/>
    <x v="1"/>
    <x v="1"/>
    <s v="Jan"/>
    <x v="10"/>
  </r>
  <r>
    <s v="INV-1184"/>
    <s v="Blue Ridge Medical"/>
    <d v="2026-01-26T00:00:00"/>
    <d v="2026-02-25T00:00:00"/>
    <d v="2026-02-20T00:00:00"/>
    <x v="4"/>
    <x v="0"/>
    <n v="2196.6999999999998"/>
    <n v="2196.6999999999998"/>
    <x v="1"/>
    <x v="0"/>
    <x v="0"/>
    <s v="M. Diaz"/>
    <n v="0"/>
    <n v="25"/>
    <x v="1"/>
    <x v="1"/>
    <s v="Jan"/>
    <x v="10"/>
  </r>
  <r>
    <s v="INV-1003"/>
    <s v="Horizon Medical"/>
    <d v="2026-01-27T00:00:00"/>
    <d v="2026-02-26T00:00:00"/>
    <d v="2026-02-14T00:00:00"/>
    <x v="0"/>
    <x v="2"/>
    <n v="2296.84"/>
    <n v="2296.84"/>
    <x v="1"/>
    <x v="0"/>
    <x v="0"/>
    <s v="A. Lopez"/>
    <n v="0"/>
    <n v="18"/>
    <x v="1"/>
    <x v="1"/>
    <s v="Jan"/>
    <x v="10"/>
  </r>
  <r>
    <s v="INV-1068"/>
    <s v="Summit Health"/>
    <d v="2026-01-27T00:00:00"/>
    <d v="2026-02-26T00:00:00"/>
    <m/>
    <x v="1"/>
    <x v="1"/>
    <n v="4697.4399999999996"/>
    <n v="0"/>
    <x v="0"/>
    <x v="1"/>
    <x v="2"/>
    <s v="J. Smith"/>
    <n v="4697.4399999999996"/>
    <s v=""/>
    <x v="74"/>
    <x v="4"/>
    <s v="Jan"/>
    <x v="10"/>
  </r>
  <r>
    <s v="INV-1124"/>
    <s v="Valley Care Center"/>
    <d v="2026-01-27T00:00:00"/>
    <d v="2026-02-26T00:00:00"/>
    <d v="2026-02-11T00:00:00"/>
    <x v="3"/>
    <x v="5"/>
    <n v="540.58000000000004"/>
    <n v="540.58000000000004"/>
    <x v="1"/>
    <x v="0"/>
    <x v="0"/>
    <s v="A. Lopez"/>
    <n v="0"/>
    <n v="15"/>
    <x v="1"/>
    <x v="1"/>
    <s v="Jan"/>
    <x v="10"/>
  </r>
  <r>
    <s v="INV-1231"/>
    <s v="Parkview Internal Medicine"/>
    <d v="2026-01-28T00:00:00"/>
    <d v="2026-02-27T00:00:00"/>
    <d v="2026-03-18T00:00:00"/>
    <x v="4"/>
    <x v="0"/>
    <n v="927.91"/>
    <n v="927.91"/>
    <x v="1"/>
    <x v="0"/>
    <x v="0"/>
    <s v="M. Diaz"/>
    <n v="0"/>
    <n v="49"/>
    <x v="1"/>
    <x v="1"/>
    <s v="Jan"/>
    <x v="10"/>
  </r>
  <r>
    <s v="INV-1011"/>
    <s v="Horizon Medical"/>
    <d v="2026-01-30T00:00:00"/>
    <d v="2026-03-01T00:00:00"/>
    <d v="2026-03-14T00:00:00"/>
    <x v="3"/>
    <x v="2"/>
    <n v="2335.41"/>
    <n v="2335.41"/>
    <x v="1"/>
    <x v="0"/>
    <x v="0"/>
    <s v="R. Nguyen"/>
    <n v="0"/>
    <n v="43"/>
    <x v="1"/>
    <x v="1"/>
    <s v="Jan"/>
    <x v="10"/>
  </r>
  <r>
    <s v="INV-1126"/>
    <s v="Sunrise Medical Partners"/>
    <d v="2026-01-30T00:00:00"/>
    <d v="2026-03-01T00:00:00"/>
    <m/>
    <x v="1"/>
    <x v="2"/>
    <n v="2132.46"/>
    <n v="0"/>
    <x v="0"/>
    <x v="1"/>
    <x v="1"/>
    <s v="S. Patel"/>
    <n v="2132.46"/>
    <s v=""/>
    <x v="75"/>
    <x v="4"/>
    <s v="Jan"/>
    <x v="10"/>
  </r>
  <r>
    <s v="INV-1136"/>
    <s v="Oak Health Group"/>
    <d v="2026-01-30T00:00:00"/>
    <d v="2026-03-01T00:00:00"/>
    <m/>
    <x v="0"/>
    <x v="1"/>
    <n v="2979.37"/>
    <n v="0"/>
    <x v="0"/>
    <x v="1"/>
    <x v="4"/>
    <s v="A. Lopez"/>
    <n v="2979.37"/>
    <s v=""/>
    <x v="75"/>
    <x v="4"/>
    <s v="Jan"/>
    <x v="10"/>
  </r>
  <r>
    <s v="INV-1140"/>
    <s v="Trinity Wellness"/>
    <d v="2026-01-31T00:00:00"/>
    <d v="2026-03-02T00:00:00"/>
    <d v="2026-02-25T00:00:00"/>
    <x v="3"/>
    <x v="4"/>
    <n v="3320.82"/>
    <n v="3320.82"/>
    <x v="1"/>
    <x v="0"/>
    <x v="0"/>
    <s v="J. Smith"/>
    <n v="0"/>
    <n v="25"/>
    <x v="1"/>
    <x v="1"/>
    <s v="Jan"/>
    <x v="10"/>
  </r>
  <r>
    <s v="INV-1053"/>
    <s v="Pioneer Care"/>
    <d v="2026-02-01T00:00:00"/>
    <d v="2026-03-03T00:00:00"/>
    <d v="2026-02-24T00:00:00"/>
    <x v="1"/>
    <x v="0"/>
    <n v="1760.48"/>
    <n v="1760.48"/>
    <x v="1"/>
    <x v="0"/>
    <x v="0"/>
    <s v="S. Patel"/>
    <n v="0"/>
    <n v="23"/>
    <x v="1"/>
    <x v="1"/>
    <s v="Feb"/>
    <x v="11"/>
  </r>
  <r>
    <s v="INV-1007"/>
    <s v="Blue Ridge Medical"/>
    <d v="2026-02-02T00:00:00"/>
    <d v="2026-03-04T00:00:00"/>
    <m/>
    <x v="4"/>
    <x v="0"/>
    <n v="2181.6999999999998"/>
    <n v="0"/>
    <x v="0"/>
    <x v="1"/>
    <x v="4"/>
    <s v="J. Smith"/>
    <n v="2181.6999999999998"/>
    <s v=""/>
    <x v="76"/>
    <x v="5"/>
    <s v="Feb"/>
    <x v="11"/>
  </r>
  <r>
    <s v="INV-1166"/>
    <s v="Blue Ridge Medical"/>
    <d v="2026-02-02T00:00:00"/>
    <d v="2026-03-04T00:00:00"/>
    <d v="2026-03-26T00:00:00"/>
    <x v="2"/>
    <x v="3"/>
    <n v="5858.52"/>
    <n v="5858.52"/>
    <x v="1"/>
    <x v="0"/>
    <x v="0"/>
    <s v="A. Lopez"/>
    <n v="0"/>
    <n v="52"/>
    <x v="1"/>
    <x v="1"/>
    <s v="Feb"/>
    <x v="11"/>
  </r>
  <r>
    <s v="INV-1079"/>
    <s v="Valley Care Center"/>
    <d v="2026-02-03T00:00:00"/>
    <d v="2026-03-05T00:00:00"/>
    <d v="2026-03-18T00:00:00"/>
    <x v="0"/>
    <x v="0"/>
    <n v="1517.64"/>
    <n v="1517.64"/>
    <x v="1"/>
    <x v="0"/>
    <x v="0"/>
    <s v="K. Brown"/>
    <n v="0"/>
    <n v="43"/>
    <x v="1"/>
    <x v="1"/>
    <s v="Feb"/>
    <x v="11"/>
  </r>
  <r>
    <s v="INV-1242"/>
    <s v="Westgate Family Health"/>
    <d v="2026-02-04T00:00:00"/>
    <d v="2026-03-06T00:00:00"/>
    <m/>
    <x v="4"/>
    <x v="4"/>
    <n v="6234.12"/>
    <n v="0"/>
    <x v="0"/>
    <x v="1"/>
    <x v="4"/>
    <s v="R. Nguyen"/>
    <n v="6234.12"/>
    <s v=""/>
    <x v="77"/>
    <x v="5"/>
    <s v="Feb"/>
    <x v="11"/>
  </r>
  <r>
    <s v="INV-1195"/>
    <s v="Cedar Grove Health"/>
    <d v="2026-02-05T00:00:00"/>
    <d v="2026-03-07T00:00:00"/>
    <d v="2026-02-23T00:00:00"/>
    <x v="2"/>
    <x v="1"/>
    <n v="3614.98"/>
    <n v="3614.98"/>
    <x v="1"/>
    <x v="0"/>
    <x v="0"/>
    <s v="J. Smith"/>
    <n v="0"/>
    <n v="18"/>
    <x v="1"/>
    <x v="1"/>
    <s v="Feb"/>
    <x v="11"/>
  </r>
  <r>
    <s v="INV-1064"/>
    <s v="Cedar Grove Health"/>
    <d v="2026-02-06T00:00:00"/>
    <d v="2026-03-08T00:00:00"/>
    <m/>
    <x v="3"/>
    <x v="1"/>
    <n v="5154.68"/>
    <n v="0"/>
    <x v="0"/>
    <x v="0"/>
    <x v="0"/>
    <s v="A. Lopez"/>
    <n v="5154.68"/>
    <s v=""/>
    <x v="78"/>
    <x v="5"/>
    <s v="Feb"/>
    <x v="11"/>
  </r>
  <r>
    <s v="INV-1051"/>
    <s v="Evergreen Pediatrics"/>
    <d v="2026-02-10T00:00:00"/>
    <d v="2026-03-12T00:00:00"/>
    <d v="2026-03-03T00:00:00"/>
    <x v="4"/>
    <x v="3"/>
    <n v="3547.41"/>
    <n v="3547.41"/>
    <x v="1"/>
    <x v="1"/>
    <x v="1"/>
    <s v="S. Patel"/>
    <n v="0"/>
    <n v="21"/>
    <x v="1"/>
    <x v="1"/>
    <s v="Feb"/>
    <x v="11"/>
  </r>
  <r>
    <s v="INV-1113"/>
    <s v="Valley Care Center"/>
    <d v="2026-02-10T00:00:00"/>
    <d v="2026-03-12T00:00:00"/>
    <d v="2026-03-30T00:00:00"/>
    <x v="0"/>
    <x v="4"/>
    <n v="3980.45"/>
    <n v="3980.45"/>
    <x v="1"/>
    <x v="0"/>
    <x v="0"/>
    <s v="J. Smith"/>
    <n v="0"/>
    <n v="48"/>
    <x v="1"/>
    <x v="1"/>
    <s v="Feb"/>
    <x v="11"/>
  </r>
  <r>
    <s v="INV-1111"/>
    <s v="Red Oak Wellness"/>
    <d v="2026-02-13T00:00:00"/>
    <d v="2026-03-15T00:00:00"/>
    <m/>
    <x v="4"/>
    <x v="4"/>
    <n v="1368.57"/>
    <n v="0"/>
    <x v="0"/>
    <x v="1"/>
    <x v="6"/>
    <s v="A. Lopez"/>
    <n v="1368.57"/>
    <s v=""/>
    <x v="79"/>
    <x v="5"/>
    <s v="Feb"/>
    <x v="11"/>
  </r>
  <r>
    <s v="INV-1090"/>
    <s v="Metro Family Care"/>
    <d v="2026-02-15T00:00:00"/>
    <d v="2026-03-17T00:00:00"/>
    <d v="2026-04-02T00:00:00"/>
    <x v="4"/>
    <x v="0"/>
    <n v="1597.54"/>
    <n v="921.36"/>
    <x v="2"/>
    <x v="1"/>
    <x v="5"/>
    <s v="R. Nguyen"/>
    <n v="676.18"/>
    <n v="46"/>
    <x v="80"/>
    <x v="5"/>
    <s v="Feb"/>
    <x v="11"/>
  </r>
  <r>
    <s v="INV-1089"/>
    <s v="Riverside Health"/>
    <d v="2026-02-16T00:00:00"/>
    <d v="2026-03-18T00:00:00"/>
    <d v="2026-03-25T00:00:00"/>
    <x v="0"/>
    <x v="2"/>
    <n v="630.55999999999995"/>
    <n v="630.55999999999995"/>
    <x v="1"/>
    <x v="0"/>
    <x v="0"/>
    <s v="M. Diaz"/>
    <n v="0"/>
    <n v="37"/>
    <x v="1"/>
    <x v="1"/>
    <s v="Feb"/>
    <x v="11"/>
  </r>
  <r>
    <s v="INV-1081"/>
    <s v="Westgate Family Health"/>
    <d v="2026-02-17T00:00:00"/>
    <d v="2026-03-19T00:00:00"/>
    <d v="2026-03-30T00:00:00"/>
    <x v="4"/>
    <x v="4"/>
    <n v="6117.95"/>
    <n v="6117.95"/>
    <x v="1"/>
    <x v="0"/>
    <x v="0"/>
    <s v="A. Lopez"/>
    <n v="0"/>
    <n v="41"/>
    <x v="1"/>
    <x v="1"/>
    <s v="Feb"/>
    <x v="11"/>
  </r>
  <r>
    <s v="INV-1114"/>
    <s v="Sunrise Medical Partners"/>
    <d v="2026-02-17T00:00:00"/>
    <d v="2026-03-19T00:00:00"/>
    <d v="2026-03-12T00:00:00"/>
    <x v="2"/>
    <x v="2"/>
    <n v="1296.8699999999999"/>
    <n v="1296.8699999999999"/>
    <x v="1"/>
    <x v="0"/>
    <x v="0"/>
    <s v="M. Diaz"/>
    <n v="0"/>
    <n v="23"/>
    <x v="1"/>
    <x v="1"/>
    <s v="Feb"/>
    <x v="11"/>
  </r>
  <r>
    <s v="INV-1151"/>
    <s v="Riverside Health"/>
    <d v="2026-02-17T00:00:00"/>
    <d v="2026-03-19T00:00:00"/>
    <d v="2026-03-30T00:00:00"/>
    <x v="2"/>
    <x v="5"/>
    <n v="3017.9"/>
    <n v="3017.9"/>
    <x v="1"/>
    <x v="0"/>
    <x v="0"/>
    <s v="K. Brown"/>
    <n v="0"/>
    <n v="41"/>
    <x v="1"/>
    <x v="1"/>
    <s v="Feb"/>
    <x v="11"/>
  </r>
  <r>
    <s v="INV-1186"/>
    <s v="Parkview Internal Medicine"/>
    <d v="2026-02-18T00:00:00"/>
    <d v="2026-03-20T00:00:00"/>
    <d v="2026-03-25T00:00:00"/>
    <x v="3"/>
    <x v="0"/>
    <n v="886.79"/>
    <n v="886.79"/>
    <x v="1"/>
    <x v="0"/>
    <x v="0"/>
    <s v="S. Patel"/>
    <n v="0"/>
    <n v="35"/>
    <x v="1"/>
    <x v="1"/>
    <s v="Feb"/>
    <x v="11"/>
  </r>
  <r>
    <s v="INV-1060"/>
    <s v="Evergreen Pediatrics"/>
    <d v="2026-02-19T00:00:00"/>
    <d v="2026-03-21T00:00:00"/>
    <d v="2026-03-25T00:00:00"/>
    <x v="4"/>
    <x v="1"/>
    <n v="1040.4100000000001"/>
    <n v="1040.4100000000001"/>
    <x v="1"/>
    <x v="0"/>
    <x v="0"/>
    <s v="A. Lopez"/>
    <n v="0"/>
    <n v="34"/>
    <x v="1"/>
    <x v="1"/>
    <s v="Feb"/>
    <x v="11"/>
  </r>
  <r>
    <s v="INV-1072"/>
    <s v="Oak Health Group"/>
    <d v="2026-02-20T00:00:00"/>
    <d v="2026-03-22T00:00:00"/>
    <d v="2026-04-20T00:00:00"/>
    <x v="2"/>
    <x v="1"/>
    <n v="4969.3"/>
    <n v="1364.78"/>
    <x v="2"/>
    <x v="0"/>
    <x v="0"/>
    <s v="S. Patel"/>
    <n v="3604.5200000000004"/>
    <n v="59"/>
    <x v="81"/>
    <x v="5"/>
    <s v="Feb"/>
    <x v="11"/>
  </r>
  <r>
    <s v="INV-1174"/>
    <s v="Parkview Internal Medicine"/>
    <d v="2026-02-20T00:00:00"/>
    <d v="2026-03-22T00:00:00"/>
    <d v="2026-03-13T00:00:00"/>
    <x v="4"/>
    <x v="1"/>
    <n v="3077.59"/>
    <n v="3077.59"/>
    <x v="1"/>
    <x v="1"/>
    <x v="1"/>
    <s v="K. Brown"/>
    <n v="0"/>
    <n v="21"/>
    <x v="1"/>
    <x v="1"/>
    <s v="Feb"/>
    <x v="11"/>
  </r>
  <r>
    <s v="INV-1104"/>
    <s v="Horizon Medical"/>
    <d v="2026-02-21T00:00:00"/>
    <d v="2026-03-23T00:00:00"/>
    <d v="2026-04-23T00:00:00"/>
    <x v="4"/>
    <x v="3"/>
    <n v="3021.79"/>
    <n v="2034.08"/>
    <x v="2"/>
    <x v="1"/>
    <x v="3"/>
    <s v="K. Brown"/>
    <n v="987.71"/>
    <n v="61"/>
    <x v="82"/>
    <x v="5"/>
    <s v="Feb"/>
    <x v="11"/>
  </r>
  <r>
    <s v="INV-1225"/>
    <s v="Valley Care Center"/>
    <d v="2026-02-24T00:00:00"/>
    <d v="2026-03-26T00:00:00"/>
    <d v="2026-04-19T00:00:00"/>
    <x v="4"/>
    <x v="1"/>
    <n v="3291.72"/>
    <n v="3291.72"/>
    <x v="1"/>
    <x v="0"/>
    <x v="0"/>
    <s v="R. Nguyen"/>
    <n v="0"/>
    <n v="54"/>
    <x v="1"/>
    <x v="1"/>
    <s v="Feb"/>
    <x v="11"/>
  </r>
  <r>
    <s v="INV-1243"/>
    <s v="Hillcrest Diagnostics"/>
    <d v="2026-02-24T00:00:00"/>
    <d v="2026-03-26T00:00:00"/>
    <d v="2026-03-29T00:00:00"/>
    <x v="2"/>
    <x v="5"/>
    <n v="747.85"/>
    <n v="277.67"/>
    <x v="2"/>
    <x v="0"/>
    <x v="0"/>
    <s v="S. Patel"/>
    <n v="470.18"/>
    <n v="33"/>
    <x v="83"/>
    <x v="5"/>
    <s v="Feb"/>
    <x v="11"/>
  </r>
  <r>
    <s v="INV-1074"/>
    <s v="Riverside Health"/>
    <d v="2026-02-26T00:00:00"/>
    <d v="2026-03-28T00:00:00"/>
    <m/>
    <x v="4"/>
    <x v="2"/>
    <n v="3435.18"/>
    <n v="0"/>
    <x v="0"/>
    <x v="1"/>
    <x v="3"/>
    <s v="A. Lopez"/>
    <n v="3435.18"/>
    <s v=""/>
    <x v="84"/>
    <x v="5"/>
    <s v="Feb"/>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17BC6-2076-40E1-84F2-97A61B802F93}"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E36" firstHeaderRow="1" firstDataRow="1" firstDataCol="0"/>
  <pivotFields count="19">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numFmtId="164" showAll="0"/>
    <pivotField showAll="0"/>
    <pivotField numFmtId="1" showAll="0"/>
    <pivotField showAll="0"/>
    <pivotField showAll="0"/>
    <pivotField showAll="0"/>
  </pivotFields>
  <rowItems count="1">
    <i/>
  </rowItems>
  <colItems count="1">
    <i/>
  </colItems>
  <dataFields count="1">
    <dataField name="Count of Invoic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99BC91-D778-419F-9320-A397B3A9E0AD}"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I11" firstHeaderRow="1" firstDataRow="1" firstDataCol="1"/>
  <pivotFields count="19">
    <pivotField dataField="1" showAll="0"/>
    <pivotField showAll="0"/>
    <pivotField numFmtId="14" showAll="0"/>
    <pivotField numFmtId="14" showAll="0"/>
    <pivotField showAll="0"/>
    <pivotField showAll="0"/>
    <pivotField showAll="0"/>
    <pivotField showAll="0"/>
    <pivotField showAll="0"/>
    <pivotField showAll="0"/>
    <pivotField axis="axisRow" showAll="0">
      <items count="3">
        <item x="0"/>
        <item x="1"/>
        <item t="default"/>
      </items>
    </pivotField>
    <pivotField showAll="0"/>
    <pivotField showAll="0"/>
    <pivotField numFmtId="164" showAll="0"/>
    <pivotField showAll="0"/>
    <pivotField numFmtId="1" showAll="0"/>
    <pivotField showAll="0"/>
    <pivotField showAll="0"/>
    <pivotField showAll="0"/>
  </pivotFields>
  <rowFields count="1">
    <field x="10"/>
  </rowFields>
  <rowItems count="3">
    <i>
      <x/>
    </i>
    <i>
      <x v="1"/>
    </i>
    <i t="grand">
      <x/>
    </i>
  </rowItems>
  <colItems count="1">
    <i/>
  </colItems>
  <dataFields count="1">
    <dataField name="Count of Invoic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8FD55E-EA1E-4CAF-85A0-1BD86197D9E9}"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E32" firstHeaderRow="1" firstDataRow="1" firstDataCol="0" rowPageCount="1" colPageCount="1"/>
  <pivotFields count="1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dataField="1" numFmtId="164" showAll="0"/>
    <pivotField showAll="0"/>
    <pivotField axis="axisPage" numFmtId="1" multipleItemSelectionAllowed="1" showAll="0">
      <items count="86">
        <item h="1" x="84"/>
        <item h="1" x="83"/>
        <item h="1" x="82"/>
        <item h="1" x="81"/>
        <item h="1" x="80"/>
        <item h="1" x="79"/>
        <item h="1" x="78"/>
        <item h="1" x="77"/>
        <item h="1" x="76"/>
        <item h="1" x="1"/>
        <item h="1" x="75"/>
        <item h="1" x="74"/>
        <item h="1" x="73"/>
        <item h="1" x="72"/>
        <item h="1" x="71"/>
        <item h="1" x="70"/>
        <item h="1"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t="default"/>
      </items>
    </pivotField>
    <pivotField showAll="0"/>
    <pivotField showAll="0"/>
    <pivotField showAll="0"/>
  </pivotFields>
  <rowItems count="1">
    <i/>
  </rowItems>
  <colItems count="1">
    <i/>
  </colItems>
  <pageFields count="1">
    <pageField fld="15" hier="-1"/>
  </pageFields>
  <dataFields count="1">
    <dataField name="Sum of Outstanding_Balanc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F9EF4C-D82E-4B61-AC41-24DF25D3F0BB}"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F24" firstHeaderRow="1" firstDataRow="1" firstDataCol="1"/>
  <pivotFields count="19">
    <pivotField dataField="1" showAll="0"/>
    <pivotField showAll="0"/>
    <pivotField numFmtId="14" showAll="0"/>
    <pivotField numFmtId="14"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numFmtId="164" showAll="0"/>
    <pivotField showAll="0"/>
    <pivotField numFmtId="1" showAll="0"/>
    <pivotField showAll="0"/>
    <pivotField showAll="0"/>
    <pivotField showAll="0"/>
  </pivotFields>
  <rowFields count="1">
    <field x="9"/>
  </rowFields>
  <rowItems count="4">
    <i>
      <x/>
    </i>
    <i>
      <x v="1"/>
    </i>
    <i>
      <x v="2"/>
    </i>
    <i t="grand">
      <x/>
    </i>
  </rowItems>
  <colItems count="1">
    <i/>
  </colItems>
  <dataFields count="1">
    <dataField name="Count of Invoic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FBE7C1-3E1A-4A69-8E85-5935E0E4610D}"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numFmtId="164" showAll="0"/>
    <pivotField dataField="1" showAll="0"/>
    <pivotField numFmtId="1" showAll="0"/>
    <pivotField showAll="0"/>
    <pivotField showAll="0"/>
    <pivotField showAll="0"/>
  </pivotFields>
  <rowItems count="1">
    <i/>
  </rowItems>
  <colItems count="1">
    <i/>
  </colItems>
  <dataFields count="1">
    <dataField name="Average of Days_to_Pay"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48F690-351F-4728-8376-44400E5AD356}"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1:F14" firstHeaderRow="1" firstDataRow="1" firstDataCol="1"/>
  <pivotFields count="19">
    <pivotField showAll="0"/>
    <pivotField showAll="0"/>
    <pivotField numFmtId="14" showAll="0"/>
    <pivotField numFmtId="14" showAll="0"/>
    <pivotField showAll="0"/>
    <pivotField showAll="0">
      <items count="6">
        <item h="1" x="0"/>
        <item h="1" x="2"/>
        <item h="1" x="1"/>
        <item h="1" x="4"/>
        <item x="3"/>
        <item t="default"/>
      </items>
    </pivotField>
    <pivotField showAll="0">
      <items count="7">
        <item x="0"/>
        <item x="2"/>
        <item x="4"/>
        <item x="5"/>
        <item x="3"/>
        <item x="1"/>
        <item t="default"/>
      </items>
    </pivotField>
    <pivotField showAll="0"/>
    <pivotField showAll="0"/>
    <pivotField showAll="0">
      <items count="4">
        <item h="1" x="1"/>
        <item x="2"/>
        <item h="1" x="0"/>
        <item t="default"/>
      </items>
    </pivotField>
    <pivotField showAll="0">
      <items count="3">
        <item x="0"/>
        <item x="1"/>
        <item t="default"/>
      </items>
    </pivotField>
    <pivotField showAll="0"/>
    <pivotField showAll="0"/>
    <pivotField dataField="1" numFmtId="164" showAll="0"/>
    <pivotField showAll="0"/>
    <pivotField numFmtId="1" showAll="0"/>
    <pivotField axis="axisRow" showAll="0">
      <items count="7">
        <item x="4"/>
        <item x="3"/>
        <item x="2"/>
        <item x="0"/>
        <item x="5"/>
        <item x="1"/>
        <item t="default"/>
      </items>
    </pivotField>
    <pivotField showAll="0"/>
    <pivotField showAll="0"/>
  </pivotFields>
  <rowFields count="1">
    <field x="16"/>
  </rowFields>
  <rowItems count="3">
    <i>
      <x v="1"/>
    </i>
    <i>
      <x v="3"/>
    </i>
    <i t="grand">
      <x/>
    </i>
  </rowItems>
  <colItems count="1">
    <i/>
  </colItems>
  <dataFields count="1">
    <dataField name="Sum of Outstanding_Balance" fld="13" baseField="0" baseItem="0" numFmtId="164"/>
  </dataFields>
  <chartFormats count="2">
    <chartFormat chart="6"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565CF6-EAB5-4759-B255-314AADDBB553}"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C27" firstHeaderRow="0" firstDataRow="1" firstDataCol="1"/>
  <pivotFields count="19">
    <pivotField showAll="0"/>
    <pivotField showAll="0"/>
    <pivotField numFmtId="14" showAll="0"/>
    <pivotField numFmtId="14" showAll="0"/>
    <pivotField showAll="0"/>
    <pivotField axis="axisRow" showAll="0">
      <items count="6">
        <item h="1" x="0"/>
        <item h="1" x="2"/>
        <item h="1" x="1"/>
        <item h="1" x="4"/>
        <item x="3"/>
        <item t="default"/>
      </items>
    </pivotField>
    <pivotField showAll="0">
      <items count="7">
        <item x="0"/>
        <item x="2"/>
        <item x="4"/>
        <item x="5"/>
        <item x="3"/>
        <item x="1"/>
        <item t="default"/>
      </items>
    </pivotField>
    <pivotField dataField="1" showAll="0"/>
    <pivotField dataField="1" showAll="0"/>
    <pivotField showAll="0">
      <items count="4">
        <item h="1" x="1"/>
        <item x="2"/>
        <item h="1" x="0"/>
        <item t="default"/>
      </items>
    </pivotField>
    <pivotField showAll="0">
      <items count="3">
        <item x="0"/>
        <item x="1"/>
        <item t="default"/>
      </items>
    </pivotField>
    <pivotField showAll="0"/>
    <pivotField showAll="0"/>
    <pivotField numFmtId="164" showAll="0"/>
    <pivotField showAll="0"/>
    <pivotField numFmtId="1" showAll="0"/>
    <pivotField showAll="0"/>
    <pivotField showAll="0"/>
    <pivotField showAll="0">
      <items count="13">
        <item x="0"/>
        <item x="1"/>
        <item x="2"/>
        <item x="3"/>
        <item x="4"/>
        <item x="5"/>
        <item x="6"/>
        <item x="7"/>
        <item x="8"/>
        <item x="9"/>
        <item x="10"/>
        <item x="11"/>
        <item t="default"/>
      </items>
    </pivotField>
  </pivotFields>
  <rowFields count="1">
    <field x="5"/>
  </rowFields>
  <rowItems count="2">
    <i>
      <x v="4"/>
    </i>
    <i t="grand">
      <x/>
    </i>
  </rowItems>
  <colFields count="1">
    <field x="-2"/>
  </colFields>
  <colItems count="2">
    <i>
      <x/>
    </i>
    <i i="1">
      <x v="1"/>
    </i>
  </colItems>
  <dataFields count="2">
    <dataField name="Sum of Billed_Amount" fld="7" baseField="0" baseItem="0"/>
    <dataField name="Sum of Paid_Amount" fld="8" baseField="0" baseItem="0"/>
  </dataFields>
  <formats count="1">
    <format dxfId="0">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2CF7B0-1CBF-45C4-B270-F761CE17690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10" firstHeaderRow="0" firstDataRow="1" firstDataCol="1"/>
  <pivotFields count="19">
    <pivotField showAll="0"/>
    <pivotField showAll="0"/>
    <pivotField numFmtId="14" showAll="0"/>
    <pivotField numFmtId="14" showAll="0"/>
    <pivotField showAll="0"/>
    <pivotField showAll="0">
      <items count="6">
        <item h="1" x="0"/>
        <item h="1" x="2"/>
        <item h="1" x="1"/>
        <item h="1" x="4"/>
        <item x="3"/>
        <item t="default"/>
      </items>
    </pivotField>
    <pivotField showAll="0">
      <items count="7">
        <item x="0"/>
        <item x="2"/>
        <item x="4"/>
        <item x="5"/>
        <item x="3"/>
        <item x="1"/>
        <item t="default"/>
      </items>
    </pivotField>
    <pivotField dataField="1" showAll="0"/>
    <pivotField dataField="1" showAll="0"/>
    <pivotField showAll="0">
      <items count="4">
        <item h="1" x="1"/>
        <item x="2"/>
        <item h="1" x="0"/>
        <item t="default"/>
      </items>
    </pivotField>
    <pivotField showAll="0">
      <items count="3">
        <item x="0"/>
        <item x="1"/>
        <item t="default"/>
      </items>
    </pivotField>
    <pivotField showAll="0"/>
    <pivotField showAll="0"/>
    <pivotField numFmtId="164" showAll="0"/>
    <pivotField showAll="0"/>
    <pivotField numFmtId="1" showAll="0"/>
    <pivotField showAll="0"/>
    <pivotField showAll="0"/>
    <pivotField axis="axisRow" showAll="0">
      <items count="13">
        <item x="0"/>
        <item x="1"/>
        <item x="2"/>
        <item x="3"/>
        <item x="4"/>
        <item x="5"/>
        <item x="6"/>
        <item x="7"/>
        <item x="8"/>
        <item x="9"/>
        <item x="10"/>
        <item x="11"/>
        <item t="default"/>
      </items>
    </pivotField>
  </pivotFields>
  <rowFields count="1">
    <field x="18"/>
  </rowFields>
  <rowItems count="9">
    <i>
      <x/>
    </i>
    <i>
      <x v="1"/>
    </i>
    <i>
      <x v="2"/>
    </i>
    <i>
      <x v="3"/>
    </i>
    <i>
      <x v="4"/>
    </i>
    <i>
      <x v="6"/>
    </i>
    <i>
      <x v="7"/>
    </i>
    <i>
      <x v="9"/>
    </i>
    <i t="grand">
      <x/>
    </i>
  </rowItems>
  <colFields count="1">
    <field x="-2"/>
  </colFields>
  <colItems count="2">
    <i>
      <x/>
    </i>
    <i i="1">
      <x v="1"/>
    </i>
  </colItems>
  <dataFields count="2">
    <dataField name="Sum of Billed_Amount" fld="7" baseField="0" baseItem="0" numFmtId="164"/>
    <dataField name="Sum of Paid_Amount" fld="8" baseField="0"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300997-E047-431C-860F-4E775C14C522}"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C22" firstHeaderRow="0" firstDataRow="1" firstDataCol="1"/>
  <pivotFields count="19">
    <pivotField showAll="0"/>
    <pivotField showAll="0"/>
    <pivotField numFmtId="14" showAll="0"/>
    <pivotField numFmtId="14" showAll="0"/>
    <pivotField showAll="0"/>
    <pivotField showAll="0">
      <items count="6">
        <item h="1" x="0"/>
        <item h="1" x="2"/>
        <item h="1" x="1"/>
        <item h="1" x="4"/>
        <item x="3"/>
        <item t="default"/>
      </items>
    </pivotField>
    <pivotField axis="axisRow" showAll="0">
      <items count="7">
        <item x="0"/>
        <item x="2"/>
        <item x="4"/>
        <item x="5"/>
        <item x="3"/>
        <item x="1"/>
        <item t="default"/>
      </items>
    </pivotField>
    <pivotField dataField="1" showAll="0"/>
    <pivotField dataField="1" showAll="0"/>
    <pivotField showAll="0">
      <items count="4">
        <item h="1" x="1"/>
        <item x="2"/>
        <item h="1" x="0"/>
        <item t="default"/>
      </items>
    </pivotField>
    <pivotField showAll="0">
      <items count="3">
        <item x="0"/>
        <item x="1"/>
        <item t="default"/>
      </items>
    </pivotField>
    <pivotField showAll="0"/>
    <pivotField showAll="0"/>
    <pivotField numFmtId="164" showAll="0"/>
    <pivotField showAll="0"/>
    <pivotField numFmtId="1" showAll="0"/>
    <pivotField showAll="0"/>
    <pivotField showAll="0"/>
    <pivotField showAll="0">
      <items count="13">
        <item x="0"/>
        <item x="1"/>
        <item x="2"/>
        <item x="3"/>
        <item x="4"/>
        <item x="5"/>
        <item x="6"/>
        <item x="7"/>
        <item x="8"/>
        <item x="9"/>
        <item x="10"/>
        <item x="11"/>
        <item t="default"/>
      </items>
    </pivotField>
  </pivotFields>
  <rowFields count="1">
    <field x="6"/>
  </rowFields>
  <rowItems count="6">
    <i>
      <x/>
    </i>
    <i>
      <x v="1"/>
    </i>
    <i>
      <x v="2"/>
    </i>
    <i>
      <x v="3"/>
    </i>
    <i>
      <x v="4"/>
    </i>
    <i t="grand">
      <x/>
    </i>
  </rowItems>
  <colFields count="1">
    <field x="-2"/>
  </colFields>
  <colItems count="2">
    <i>
      <x/>
    </i>
    <i i="1">
      <x v="1"/>
    </i>
  </colItems>
  <dataFields count="2">
    <dataField name="Sum of Billed_Amount" fld="7" baseField="0" baseItem="0"/>
    <dataField name="Sum of Paid_Amount" fld="8" baseField="0" baseItem="0"/>
  </dataFields>
  <formats count="2">
    <format dxfId="1">
      <pivotArea collapsedLevelsAreSubtotals="1" fieldPosition="0">
        <references count="1">
          <reference field="6" count="0"/>
        </references>
      </pivotArea>
    </format>
    <format dxfId="2">
      <pivotArea grandRow="1"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56AD94-2589-431F-92B9-D7A85E1E2AB4}"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F6" firstHeaderRow="1" firstDataRow="1" firstDataCol="1"/>
  <pivotFields count="19">
    <pivotField dataField="1" showAll="0"/>
    <pivotField showAll="0"/>
    <pivotField numFmtId="14" showAll="0"/>
    <pivotField numFmtId="14" showAll="0"/>
    <pivotField showAll="0"/>
    <pivotField showAll="0">
      <items count="6">
        <item h="1" x="0"/>
        <item h="1" x="2"/>
        <item h="1" x="1"/>
        <item h="1" x="4"/>
        <item x="3"/>
        <item t="default"/>
      </items>
    </pivotField>
    <pivotField showAll="0">
      <items count="7">
        <item x="0"/>
        <item x="2"/>
        <item x="4"/>
        <item x="5"/>
        <item x="3"/>
        <item x="1"/>
        <item t="default"/>
      </items>
    </pivotField>
    <pivotField showAll="0"/>
    <pivotField showAll="0"/>
    <pivotField showAll="0">
      <items count="4">
        <item h="1" x="1"/>
        <item x="2"/>
        <item h="1" x="0"/>
        <item t="default"/>
      </items>
    </pivotField>
    <pivotField showAll="0">
      <items count="3">
        <item x="0"/>
        <item x="1"/>
        <item t="default"/>
      </items>
    </pivotField>
    <pivotField axis="axisRow" showAll="0">
      <items count="9">
        <item x="3"/>
        <item x="2"/>
        <item x="7"/>
        <item x="1"/>
        <item x="6"/>
        <item x="4"/>
        <item h="1" x="0"/>
        <item x="5"/>
        <item t="default"/>
      </items>
    </pivotField>
    <pivotField showAll="0"/>
    <pivotField numFmtId="164" showAll="0"/>
    <pivotField showAll="0"/>
    <pivotField numFmtId="1" showAll="0"/>
    <pivotField showAll="0"/>
    <pivotField showAll="0"/>
    <pivotField showAll="0">
      <items count="13">
        <item x="0"/>
        <item x="1"/>
        <item x="2"/>
        <item x="3"/>
        <item x="4"/>
        <item x="5"/>
        <item x="6"/>
        <item x="7"/>
        <item x="8"/>
        <item x="9"/>
        <item x="10"/>
        <item x="11"/>
        <item t="default"/>
      </items>
    </pivotField>
  </pivotFields>
  <rowFields count="1">
    <field x="11"/>
  </rowFields>
  <rowItems count="5">
    <i>
      <x/>
    </i>
    <i>
      <x v="4"/>
    </i>
    <i>
      <x v="5"/>
    </i>
    <i>
      <x v="7"/>
    </i>
    <i t="grand">
      <x/>
    </i>
  </rowItems>
  <colItems count="1">
    <i/>
  </colItems>
  <dataFields count="1">
    <dataField name="Count of Invoice_ID" fld="0" subtotal="count" baseField="11"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B4A968-866D-4D95-BDFB-6E7E5F7ACB56}"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C46" firstHeaderRow="0" firstDataRow="1" firstDataCol="1"/>
  <pivotFields count="19">
    <pivotField showAll="0"/>
    <pivotField showAll="0"/>
    <pivotField numFmtId="14" showAll="0"/>
    <pivotField numFmtId="14" showAll="0"/>
    <pivotField showAll="0"/>
    <pivotField showAll="0">
      <items count="6">
        <item h="1" x="0"/>
        <item h="1" x="2"/>
        <item h="1" x="1"/>
        <item h="1" x="4"/>
        <item x="3"/>
        <item t="default"/>
      </items>
    </pivotField>
    <pivotField showAll="0">
      <items count="7">
        <item x="0"/>
        <item x="2"/>
        <item x="4"/>
        <item x="5"/>
        <item x="3"/>
        <item x="1"/>
        <item t="default"/>
      </items>
    </pivotField>
    <pivotField dataField="1" showAll="0"/>
    <pivotField dataField="1" showAll="0"/>
    <pivotField showAll="0">
      <items count="4">
        <item h="1" x="1"/>
        <item x="2"/>
        <item h="1" x="0"/>
        <item t="default"/>
      </items>
    </pivotField>
    <pivotField showAll="0">
      <items count="3">
        <item x="0"/>
        <item x="1"/>
        <item t="default"/>
      </items>
    </pivotField>
    <pivotField showAll="0"/>
    <pivotField showAll="0"/>
    <pivotField numFmtId="164" showAll="0"/>
    <pivotField showAll="0"/>
    <pivotField numFmtId="1" showAll="0"/>
    <pivotField showAll="0"/>
    <pivotField showAll="0"/>
    <pivotField axis="axisRow" showAll="0">
      <items count="13">
        <item x="0"/>
        <item x="1"/>
        <item x="2"/>
        <item x="3"/>
        <item x="4"/>
        <item x="5"/>
        <item x="6"/>
        <item x="7"/>
        <item x="8"/>
        <item x="9"/>
        <item x="10"/>
        <item x="11"/>
        <item t="default"/>
      </items>
    </pivotField>
  </pivotFields>
  <rowFields count="1">
    <field x="18"/>
  </rowFields>
  <rowItems count="9">
    <i>
      <x/>
    </i>
    <i>
      <x v="1"/>
    </i>
    <i>
      <x v="2"/>
    </i>
    <i>
      <x v="3"/>
    </i>
    <i>
      <x v="4"/>
    </i>
    <i>
      <x v="6"/>
    </i>
    <i>
      <x v="7"/>
    </i>
    <i>
      <x v="9"/>
    </i>
    <i t="grand">
      <x/>
    </i>
  </rowItems>
  <colFields count="1">
    <field x="-2"/>
  </colFields>
  <colItems count="2">
    <i>
      <x/>
    </i>
    <i i="1">
      <x v="1"/>
    </i>
  </colItems>
  <dataFields count="2">
    <dataField name="Sum of Billed_Amount" fld="7" baseField="0" baseItem="0" numFmtId="164"/>
    <dataField name="Sum of Paid_Amount" fld="8" baseField="0"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E3D73B-7391-432F-849C-5A0D6AE557C3}" sourceName="Region">
  <pivotTables>
    <pivotTable tabId="3" name="PivotTable1"/>
    <pivotTable tabId="3" name="PivotTable2"/>
    <pivotTable tabId="3" name="PivotTable6"/>
    <pivotTable tabId="3" name="PivotTable10"/>
    <pivotTable tabId="3" name="PivotTable11"/>
    <pivotTable tabId="3" name="PivotTable12"/>
  </pivotTables>
  <data>
    <tabular pivotCacheId="1231039399">
      <items count="5">
        <i x="0"/>
        <i x="2"/>
        <i x="1"/>
        <i x="4"/>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ategory" xr10:uid="{D07E8198-6F69-44AA-9A62-672378157F82}" sourceName="Service_Category">
  <pivotTables>
    <pivotTable tabId="3" name="PivotTable1"/>
    <pivotTable tabId="3" name="PivotTable2"/>
    <pivotTable tabId="3" name="PivotTable6"/>
    <pivotTable tabId="3" name="PivotTable10"/>
    <pivotTable tabId="3" name="PivotTable11"/>
    <pivotTable tabId="3" name="PivotTable12"/>
  </pivotTables>
  <data>
    <tabular pivotCacheId="1231039399">
      <items count="6">
        <i x="0" s="1"/>
        <i x="2" s="1"/>
        <i x="4" s="1"/>
        <i x="5" s="1"/>
        <i x="3"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1DF65269-2BFB-4D62-950B-3EECA2B23DA2}" sourceName="Payment_Status">
  <pivotTables>
    <pivotTable tabId="3" name="PivotTable1"/>
    <pivotTable tabId="3" name="PivotTable2"/>
    <pivotTable tabId="3" name="PivotTable6"/>
    <pivotTable tabId="3" name="PivotTable10"/>
    <pivotTable tabId="3" name="PivotTable11"/>
    <pivotTable tabId="3" name="PivotTable12"/>
  </pivotTables>
  <data>
    <tabular pivotCacheId="1231039399">
      <items count="3">
        <i x="1"/>
        <i x="2"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nial_or_Exception" xr10:uid="{02BFAD57-BB44-44A3-BE8A-68335B105BCF}" sourceName="Denial_or_Exception">
  <pivotTables>
    <pivotTable tabId="3" name="PivotTable1"/>
    <pivotTable tabId="3" name="PivotTable2"/>
    <pivotTable tabId="3" name="PivotTable6"/>
    <pivotTable tabId="3" name="PivotTable10"/>
    <pivotTable tabId="3" name="PivotTable11"/>
    <pivotTable tabId="3" name="PivotTable12"/>
  </pivotTables>
  <data>
    <tabular pivotCacheId="123103939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C0B029-5FC4-4EC3-9EC9-754D6E3BFBFD}" cache="Slicer_Region" caption="Region" startItem="1" style="SlicerStyleDark1" rowHeight="257175"/>
  <slicer name="Service_Category" xr10:uid="{6D002A7C-9EDF-4309-AF0F-F6BA7D13E2C4}" cache="Slicer_Service_Category" caption="Service_Category" style="SlicerStyleDark1" rowHeight="257175"/>
  <slicer name="Payment_Status" xr10:uid="{E4DE5137-FCE9-4EDF-ADB8-2F8082F16882}" cache="Slicer_Payment_Status" caption="Payment_Status" style="SlicerStyleDark1" rowHeight="257175"/>
  <slicer name="Denial_or_Exception" xr10:uid="{F2FDA7AA-C4F3-409D-8AFC-8459C1A6CCDE}" cache="Slicer_Denial_or_Exception" caption="Denial_or_Exception"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639A4-D47B-47CA-AAFE-C8258AE2BEA4}" name="Table1" displayName="Table1" ref="A1:S261" totalsRowShown="0">
  <autoFilter ref="A1:S261" xr:uid="{EDE639A4-D47B-47CA-AAFE-C8258AE2BEA4}"/>
  <tableColumns count="19">
    <tableColumn id="1" xr3:uid="{789E1CD6-F63B-4D85-A507-FE90D8A720CE}" name="Invoice_ID"/>
    <tableColumn id="2" xr3:uid="{58C0A985-F5C9-404B-B767-2CEC1DAE1C35}" name="Customer_Name"/>
    <tableColumn id="3" xr3:uid="{5C7FF289-ACF1-48A7-A262-2C82F8A94F82}" name="Invoice_Date" dataDxfId="144"/>
    <tableColumn id="4" xr3:uid="{FD77A497-B761-4353-B454-18FE6E638FC8}" name="Due_Date" dataDxfId="143"/>
    <tableColumn id="5" xr3:uid="{354FF999-3D32-48F4-A2EA-3EA08E7BCFBD}" name="Payment_Date" dataDxfId="142"/>
    <tableColumn id="6" xr3:uid="{C7A4C675-D479-4B17-B28D-E59DED330E29}" name="Region"/>
    <tableColumn id="7" xr3:uid="{4B6116C9-25AD-48E8-B5AE-B179F8C1C12F}" name="Service_Category"/>
    <tableColumn id="8" xr3:uid="{D91DB333-03EE-4CBF-B67D-EC902A9502B1}" name="Billed_Amount"/>
    <tableColumn id="9" xr3:uid="{C8E2B547-40DB-403F-B40A-6673A2E4C4A6}" name="Paid_Amount"/>
    <tableColumn id="10" xr3:uid="{B2A4513F-0E29-4786-A1D0-E943D28FE188}" name="Payment_Status"/>
    <tableColumn id="11" xr3:uid="{A4C2799D-D054-442E-9931-47F042E39E74}" name="Denial_or_Exception"/>
    <tableColumn id="12" xr3:uid="{992DB81E-7EC4-447E-8464-51E70AF6F6C0}" name="Exception_Reason"/>
    <tableColumn id="13" xr3:uid="{0BD6F5E6-DB76-4A0D-9A64-0E9DE2D06637}" name="Account_Manager"/>
    <tableColumn id="14" xr3:uid="{C90A76C3-87F9-428A-816C-8F0F5AAFB5AA}" name="Outstanding_Balance" dataDxfId="141">
      <calculatedColumnFormula>H2-I2</calculatedColumnFormula>
    </tableColumn>
    <tableColumn id="15" xr3:uid="{6A5B982C-B615-41A9-8999-319254F58AE5}" name="Days_to_Pay" dataDxfId="140">
      <calculatedColumnFormula>IF(E2="","",E2-C2)</calculatedColumnFormula>
    </tableColumn>
    <tableColumn id="16" xr3:uid="{31C9D651-D27D-4132-9A18-DA3ACAF67924}" name="Days_Past_Due" dataDxfId="139">
      <calculatedColumnFormula>IF(N2&lt;=0,0,TODAY()-D2)</calculatedColumnFormula>
    </tableColumn>
    <tableColumn id="17" xr3:uid="{603A8EBE-79C8-4150-B06E-3BA74BCB761F}" name="Aging_Bucket" dataDxfId="138">
      <calculatedColumnFormula>IF(N2&lt;=0,"Paid",IF(P2&lt;=0,"Current",IF(P2&lt;=30,"1-30",IF(P2&lt;=60,"31-60",IF(P2&lt;=90,"61-90","90+")))))</calculatedColumnFormula>
    </tableColumn>
    <tableColumn id="18" xr3:uid="{2E80C7ED-FDC8-4B45-8A6A-B2B35B709A28}" name="Month">
      <calculatedColumnFormula>TEXT(C2,"mmm")</calculatedColumnFormula>
    </tableColumn>
    <tableColumn id="19" xr3:uid="{0A9B7EB0-6813-4443-96DE-4EB63D53A671}" name="Year_Month">
      <calculatedColumnFormula>TEXT(C2,"yyyy-mm")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D8746-8398-4ED8-B3FF-31DC7699880B}">
  <dimension ref="A1:M261"/>
  <sheetViews>
    <sheetView workbookViewId="0">
      <selection activeCell="F25" sqref="F25"/>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s="1">
        <v>45717</v>
      </c>
      <c r="D2" s="1">
        <v>45747</v>
      </c>
      <c r="F2" t="s">
        <v>15</v>
      </c>
      <c r="G2" t="s">
        <v>16</v>
      </c>
      <c r="H2">
        <v>342.85</v>
      </c>
      <c r="I2">
        <v>0</v>
      </c>
      <c r="J2" t="s">
        <v>17</v>
      </c>
      <c r="K2" t="s">
        <v>18</v>
      </c>
      <c r="L2" t="s">
        <v>19</v>
      </c>
      <c r="M2" t="s">
        <v>20</v>
      </c>
    </row>
    <row r="3" spans="1:13" x14ac:dyDescent="0.25">
      <c r="A3" t="s">
        <v>21</v>
      </c>
      <c r="B3" t="s">
        <v>22</v>
      </c>
      <c r="C3" s="1">
        <v>45720</v>
      </c>
      <c r="D3" s="1">
        <v>45750</v>
      </c>
      <c r="E3" s="1">
        <v>45732</v>
      </c>
      <c r="F3" t="s">
        <v>23</v>
      </c>
      <c r="G3" t="s">
        <v>24</v>
      </c>
      <c r="H3">
        <v>1012.03</v>
      </c>
      <c r="I3">
        <v>1012.03</v>
      </c>
      <c r="J3" t="s">
        <v>25</v>
      </c>
      <c r="K3" t="s">
        <v>26</v>
      </c>
      <c r="L3" t="s">
        <v>27</v>
      </c>
      <c r="M3" t="s">
        <v>28</v>
      </c>
    </row>
    <row r="4" spans="1:13" x14ac:dyDescent="0.25">
      <c r="A4" t="s">
        <v>29</v>
      </c>
      <c r="B4" t="s">
        <v>22</v>
      </c>
      <c r="C4" s="1">
        <v>45720</v>
      </c>
      <c r="D4" s="1">
        <v>45750</v>
      </c>
      <c r="E4" s="1">
        <v>45765</v>
      </c>
      <c r="F4" t="s">
        <v>30</v>
      </c>
      <c r="G4" t="s">
        <v>31</v>
      </c>
      <c r="H4">
        <v>2286.94</v>
      </c>
      <c r="I4">
        <v>2286.94</v>
      </c>
      <c r="J4" t="s">
        <v>25</v>
      </c>
      <c r="K4" t="s">
        <v>18</v>
      </c>
      <c r="L4" t="s">
        <v>19</v>
      </c>
      <c r="M4" t="s">
        <v>32</v>
      </c>
    </row>
    <row r="5" spans="1:13" x14ac:dyDescent="0.25">
      <c r="A5" t="s">
        <v>33</v>
      </c>
      <c r="B5" t="s">
        <v>14</v>
      </c>
      <c r="C5" s="1">
        <v>45721</v>
      </c>
      <c r="D5" s="1">
        <v>45751</v>
      </c>
      <c r="F5" t="s">
        <v>15</v>
      </c>
      <c r="G5" t="s">
        <v>16</v>
      </c>
      <c r="H5">
        <v>527.89</v>
      </c>
      <c r="I5">
        <v>0</v>
      </c>
      <c r="J5" t="s">
        <v>17</v>
      </c>
      <c r="K5" t="s">
        <v>26</v>
      </c>
      <c r="L5" t="s">
        <v>34</v>
      </c>
      <c r="M5" t="s">
        <v>28</v>
      </c>
    </row>
    <row r="6" spans="1:13" x14ac:dyDescent="0.25">
      <c r="A6" t="s">
        <v>35</v>
      </c>
      <c r="B6" t="s">
        <v>36</v>
      </c>
      <c r="C6" s="1">
        <v>45721</v>
      </c>
      <c r="D6" s="1">
        <v>45751</v>
      </c>
      <c r="F6" t="s">
        <v>30</v>
      </c>
      <c r="G6" t="s">
        <v>37</v>
      </c>
      <c r="H6">
        <v>2036.95</v>
      </c>
      <c r="I6">
        <v>0</v>
      </c>
      <c r="J6" t="s">
        <v>17</v>
      </c>
      <c r="K6" t="s">
        <v>26</v>
      </c>
      <c r="L6" t="s">
        <v>38</v>
      </c>
      <c r="M6" t="s">
        <v>39</v>
      </c>
    </row>
    <row r="7" spans="1:13" x14ac:dyDescent="0.25">
      <c r="A7" t="s">
        <v>40</v>
      </c>
      <c r="B7" t="s">
        <v>41</v>
      </c>
      <c r="C7" s="1">
        <v>45722</v>
      </c>
      <c r="D7" s="1">
        <v>45752</v>
      </c>
      <c r="E7" s="1">
        <v>45749</v>
      </c>
      <c r="F7" t="s">
        <v>30</v>
      </c>
      <c r="G7" t="s">
        <v>24</v>
      </c>
      <c r="H7">
        <v>4371.67</v>
      </c>
      <c r="I7">
        <v>4371.67</v>
      </c>
      <c r="J7" t="s">
        <v>25</v>
      </c>
      <c r="K7" t="s">
        <v>18</v>
      </c>
      <c r="L7" t="s">
        <v>19</v>
      </c>
      <c r="M7" t="s">
        <v>42</v>
      </c>
    </row>
    <row r="8" spans="1:13" x14ac:dyDescent="0.25">
      <c r="A8" t="s">
        <v>43</v>
      </c>
      <c r="B8" t="s">
        <v>44</v>
      </c>
      <c r="C8" s="1">
        <v>45727</v>
      </c>
      <c r="D8" s="1">
        <v>45757</v>
      </c>
      <c r="F8" t="s">
        <v>45</v>
      </c>
      <c r="G8" t="s">
        <v>31</v>
      </c>
      <c r="H8">
        <v>3042.68</v>
      </c>
      <c r="I8">
        <v>0</v>
      </c>
      <c r="J8" t="s">
        <v>17</v>
      </c>
      <c r="K8" t="s">
        <v>26</v>
      </c>
      <c r="L8" t="s">
        <v>34</v>
      </c>
      <c r="M8" t="s">
        <v>46</v>
      </c>
    </row>
    <row r="9" spans="1:13" x14ac:dyDescent="0.25">
      <c r="A9" t="s">
        <v>47</v>
      </c>
      <c r="B9" t="s">
        <v>48</v>
      </c>
      <c r="C9" s="1">
        <v>45728</v>
      </c>
      <c r="D9" s="1">
        <v>45758</v>
      </c>
      <c r="E9" s="1">
        <v>45739</v>
      </c>
      <c r="F9" t="s">
        <v>23</v>
      </c>
      <c r="G9" t="s">
        <v>31</v>
      </c>
      <c r="H9">
        <v>2328.92</v>
      </c>
      <c r="I9">
        <v>2328.92</v>
      </c>
      <c r="J9" t="s">
        <v>25</v>
      </c>
      <c r="K9" t="s">
        <v>18</v>
      </c>
      <c r="L9" t="s">
        <v>19</v>
      </c>
      <c r="M9" t="s">
        <v>39</v>
      </c>
    </row>
    <row r="10" spans="1:13" x14ac:dyDescent="0.25">
      <c r="A10" t="s">
        <v>49</v>
      </c>
      <c r="B10" t="s">
        <v>50</v>
      </c>
      <c r="C10" s="1">
        <v>45728</v>
      </c>
      <c r="D10" s="1">
        <v>45758</v>
      </c>
      <c r="E10" s="1">
        <v>45780</v>
      </c>
      <c r="F10" t="s">
        <v>45</v>
      </c>
      <c r="G10" t="s">
        <v>16</v>
      </c>
      <c r="H10">
        <v>1940.77</v>
      </c>
      <c r="I10">
        <v>1940.77</v>
      </c>
      <c r="J10" t="s">
        <v>25</v>
      </c>
      <c r="K10" t="s">
        <v>26</v>
      </c>
      <c r="L10" t="s">
        <v>27</v>
      </c>
      <c r="M10" t="s">
        <v>46</v>
      </c>
    </row>
    <row r="11" spans="1:13" x14ac:dyDescent="0.25">
      <c r="A11" t="s">
        <v>51</v>
      </c>
      <c r="B11" t="s">
        <v>52</v>
      </c>
      <c r="C11" s="1">
        <v>45729</v>
      </c>
      <c r="D11" s="1">
        <v>45759</v>
      </c>
      <c r="E11" s="1">
        <v>45771</v>
      </c>
      <c r="F11" t="s">
        <v>30</v>
      </c>
      <c r="G11" t="s">
        <v>53</v>
      </c>
      <c r="H11">
        <v>1804.67</v>
      </c>
      <c r="I11">
        <v>1804.67</v>
      </c>
      <c r="J11" t="s">
        <v>25</v>
      </c>
      <c r="K11" t="s">
        <v>18</v>
      </c>
      <c r="L11" t="s">
        <v>19</v>
      </c>
      <c r="M11" t="s">
        <v>32</v>
      </c>
    </row>
    <row r="12" spans="1:13" x14ac:dyDescent="0.25">
      <c r="A12" t="s">
        <v>54</v>
      </c>
      <c r="B12" t="s">
        <v>48</v>
      </c>
      <c r="C12" s="1">
        <v>45729</v>
      </c>
      <c r="D12" s="1">
        <v>45759</v>
      </c>
      <c r="E12" s="1">
        <v>45781</v>
      </c>
      <c r="F12" t="s">
        <v>15</v>
      </c>
      <c r="G12" t="s">
        <v>37</v>
      </c>
      <c r="H12">
        <v>8339</v>
      </c>
      <c r="I12">
        <v>8339</v>
      </c>
      <c r="J12" t="s">
        <v>25</v>
      </c>
      <c r="K12" t="s">
        <v>26</v>
      </c>
      <c r="L12" t="s">
        <v>55</v>
      </c>
      <c r="M12" t="s">
        <v>42</v>
      </c>
    </row>
    <row r="13" spans="1:13" x14ac:dyDescent="0.25">
      <c r="A13" t="s">
        <v>56</v>
      </c>
      <c r="B13" t="s">
        <v>44</v>
      </c>
      <c r="C13" s="1">
        <v>45730</v>
      </c>
      <c r="D13" s="1">
        <v>45760</v>
      </c>
      <c r="E13" s="1">
        <v>45767</v>
      </c>
      <c r="F13" t="s">
        <v>45</v>
      </c>
      <c r="G13" t="s">
        <v>37</v>
      </c>
      <c r="H13">
        <v>6371.4</v>
      </c>
      <c r="I13">
        <v>6371.4</v>
      </c>
      <c r="J13" t="s">
        <v>25</v>
      </c>
      <c r="K13" t="s">
        <v>18</v>
      </c>
      <c r="L13" t="s">
        <v>19</v>
      </c>
      <c r="M13" t="s">
        <v>39</v>
      </c>
    </row>
    <row r="14" spans="1:13" x14ac:dyDescent="0.25">
      <c r="A14" t="s">
        <v>57</v>
      </c>
      <c r="B14" t="s">
        <v>58</v>
      </c>
      <c r="C14" s="1">
        <v>45732</v>
      </c>
      <c r="D14" s="1">
        <v>45762</v>
      </c>
      <c r="E14" s="1">
        <v>45763</v>
      </c>
      <c r="F14" t="s">
        <v>59</v>
      </c>
      <c r="G14" t="s">
        <v>37</v>
      </c>
      <c r="H14">
        <v>7294.23</v>
      </c>
      <c r="I14">
        <v>7294.23</v>
      </c>
      <c r="J14" t="s">
        <v>25</v>
      </c>
      <c r="K14" t="s">
        <v>26</v>
      </c>
      <c r="L14" t="s">
        <v>27</v>
      </c>
      <c r="M14" t="s">
        <v>28</v>
      </c>
    </row>
    <row r="15" spans="1:13" x14ac:dyDescent="0.25">
      <c r="A15" t="s">
        <v>60</v>
      </c>
      <c r="B15" t="s">
        <v>22</v>
      </c>
      <c r="C15" s="1">
        <v>45733</v>
      </c>
      <c r="D15" s="1">
        <v>45763</v>
      </c>
      <c r="F15" t="s">
        <v>30</v>
      </c>
      <c r="G15" t="s">
        <v>31</v>
      </c>
      <c r="H15">
        <v>764.75</v>
      </c>
      <c r="I15">
        <v>0</v>
      </c>
      <c r="J15" t="s">
        <v>17</v>
      </c>
      <c r="K15" t="s">
        <v>26</v>
      </c>
      <c r="L15" t="s">
        <v>27</v>
      </c>
      <c r="M15" t="s">
        <v>42</v>
      </c>
    </row>
    <row r="16" spans="1:13" x14ac:dyDescent="0.25">
      <c r="A16" t="s">
        <v>61</v>
      </c>
      <c r="B16" t="s">
        <v>58</v>
      </c>
      <c r="C16" s="1">
        <v>45735</v>
      </c>
      <c r="D16" s="1">
        <v>45765</v>
      </c>
      <c r="F16" t="s">
        <v>45</v>
      </c>
      <c r="G16" t="s">
        <v>31</v>
      </c>
      <c r="H16">
        <v>4246.43</v>
      </c>
      <c r="I16">
        <v>0</v>
      </c>
      <c r="J16" t="s">
        <v>17</v>
      </c>
      <c r="K16" t="s">
        <v>18</v>
      </c>
      <c r="L16" t="s">
        <v>19</v>
      </c>
      <c r="M16" t="s">
        <v>32</v>
      </c>
    </row>
    <row r="17" spans="1:13" x14ac:dyDescent="0.25">
      <c r="A17" t="s">
        <v>62</v>
      </c>
      <c r="B17" t="s">
        <v>41</v>
      </c>
      <c r="C17" s="1">
        <v>45737</v>
      </c>
      <c r="D17" s="1">
        <v>45767</v>
      </c>
      <c r="F17" t="s">
        <v>59</v>
      </c>
      <c r="G17" t="s">
        <v>31</v>
      </c>
      <c r="H17">
        <v>3106.04</v>
      </c>
      <c r="I17">
        <v>0</v>
      </c>
      <c r="J17" t="s">
        <v>17</v>
      </c>
      <c r="K17" t="s">
        <v>26</v>
      </c>
      <c r="L17" t="s">
        <v>38</v>
      </c>
      <c r="M17" t="s">
        <v>39</v>
      </c>
    </row>
    <row r="18" spans="1:13" x14ac:dyDescent="0.25">
      <c r="A18" t="s">
        <v>63</v>
      </c>
      <c r="B18" t="s">
        <v>64</v>
      </c>
      <c r="C18" s="1">
        <v>45739</v>
      </c>
      <c r="D18" s="1">
        <v>45769</v>
      </c>
      <c r="E18" s="1">
        <v>45776</v>
      </c>
      <c r="F18" t="s">
        <v>30</v>
      </c>
      <c r="G18" t="s">
        <v>37</v>
      </c>
      <c r="H18">
        <v>7545.37</v>
      </c>
      <c r="I18">
        <v>7545.37</v>
      </c>
      <c r="J18" t="s">
        <v>25</v>
      </c>
      <c r="K18" t="s">
        <v>18</v>
      </c>
      <c r="L18" t="s">
        <v>19</v>
      </c>
      <c r="M18" t="s">
        <v>42</v>
      </c>
    </row>
    <row r="19" spans="1:13" x14ac:dyDescent="0.25">
      <c r="A19" t="s">
        <v>65</v>
      </c>
      <c r="B19" t="s">
        <v>22</v>
      </c>
      <c r="C19" s="1">
        <v>45739</v>
      </c>
      <c r="D19" s="1">
        <v>45769</v>
      </c>
      <c r="F19" t="s">
        <v>45</v>
      </c>
      <c r="G19" t="s">
        <v>31</v>
      </c>
      <c r="H19">
        <v>2659.04</v>
      </c>
      <c r="I19">
        <v>888.34</v>
      </c>
      <c r="J19" t="s">
        <v>66</v>
      </c>
      <c r="K19" t="s">
        <v>18</v>
      </c>
      <c r="L19" t="s">
        <v>19</v>
      </c>
      <c r="M19" t="s">
        <v>32</v>
      </c>
    </row>
    <row r="20" spans="1:13" x14ac:dyDescent="0.25">
      <c r="A20" t="s">
        <v>67</v>
      </c>
      <c r="B20" t="s">
        <v>68</v>
      </c>
      <c r="C20" s="1">
        <v>45740</v>
      </c>
      <c r="D20" s="1">
        <v>45770</v>
      </c>
      <c r="E20" s="1">
        <v>45774</v>
      </c>
      <c r="F20" t="s">
        <v>30</v>
      </c>
      <c r="G20" t="s">
        <v>69</v>
      </c>
      <c r="H20">
        <v>1511.24</v>
      </c>
      <c r="I20">
        <v>1511.24</v>
      </c>
      <c r="J20" t="s">
        <v>25</v>
      </c>
      <c r="K20" t="s">
        <v>18</v>
      </c>
      <c r="L20" t="s">
        <v>19</v>
      </c>
      <c r="M20" t="s">
        <v>42</v>
      </c>
    </row>
    <row r="21" spans="1:13" x14ac:dyDescent="0.25">
      <c r="A21" t="s">
        <v>70</v>
      </c>
      <c r="B21" t="s">
        <v>71</v>
      </c>
      <c r="C21" s="1">
        <v>45740</v>
      </c>
      <c r="D21" s="1">
        <v>45770</v>
      </c>
      <c r="E21" s="1">
        <v>45749</v>
      </c>
      <c r="F21" t="s">
        <v>15</v>
      </c>
      <c r="G21" t="s">
        <v>16</v>
      </c>
      <c r="H21">
        <v>763.78</v>
      </c>
      <c r="I21">
        <v>763.78</v>
      </c>
      <c r="J21" t="s">
        <v>25</v>
      </c>
      <c r="K21" t="s">
        <v>18</v>
      </c>
      <c r="L21" t="s">
        <v>19</v>
      </c>
      <c r="M21" t="s">
        <v>28</v>
      </c>
    </row>
    <row r="22" spans="1:13" x14ac:dyDescent="0.25">
      <c r="A22" t="s">
        <v>72</v>
      </c>
      <c r="B22" t="s">
        <v>58</v>
      </c>
      <c r="C22" s="1">
        <v>45742</v>
      </c>
      <c r="D22" s="1">
        <v>45772</v>
      </c>
      <c r="E22" s="1">
        <v>45774</v>
      </c>
      <c r="F22" t="s">
        <v>30</v>
      </c>
      <c r="G22" t="s">
        <v>31</v>
      </c>
      <c r="H22">
        <v>1346.64</v>
      </c>
      <c r="I22">
        <v>1346.64</v>
      </c>
      <c r="J22" t="s">
        <v>25</v>
      </c>
      <c r="K22" t="s">
        <v>18</v>
      </c>
      <c r="L22" t="s">
        <v>19</v>
      </c>
      <c r="M22" t="s">
        <v>42</v>
      </c>
    </row>
    <row r="23" spans="1:13" x14ac:dyDescent="0.25">
      <c r="A23" t="s">
        <v>73</v>
      </c>
      <c r="B23" t="s">
        <v>36</v>
      </c>
      <c r="C23" s="1">
        <v>45744</v>
      </c>
      <c r="D23" s="1">
        <v>45774</v>
      </c>
      <c r="E23" s="1">
        <v>45758</v>
      </c>
      <c r="F23" t="s">
        <v>15</v>
      </c>
      <c r="G23" t="s">
        <v>16</v>
      </c>
      <c r="H23">
        <v>2377</v>
      </c>
      <c r="I23">
        <v>2377</v>
      </c>
      <c r="J23" t="s">
        <v>25</v>
      </c>
      <c r="K23" t="s">
        <v>18</v>
      </c>
      <c r="L23" t="s">
        <v>19</v>
      </c>
      <c r="M23" t="s">
        <v>28</v>
      </c>
    </row>
    <row r="24" spans="1:13" x14ac:dyDescent="0.25">
      <c r="A24" t="s">
        <v>74</v>
      </c>
      <c r="B24" t="s">
        <v>41</v>
      </c>
      <c r="C24" s="1">
        <v>45745</v>
      </c>
      <c r="D24" s="1">
        <v>45775</v>
      </c>
      <c r="E24" s="1">
        <v>45757</v>
      </c>
      <c r="F24" t="s">
        <v>30</v>
      </c>
      <c r="G24" t="s">
        <v>37</v>
      </c>
      <c r="H24">
        <v>3621.18</v>
      </c>
      <c r="I24">
        <v>3621.18</v>
      </c>
      <c r="J24" t="s">
        <v>25</v>
      </c>
      <c r="K24" t="s">
        <v>26</v>
      </c>
      <c r="L24" t="s">
        <v>27</v>
      </c>
      <c r="M24" t="s">
        <v>46</v>
      </c>
    </row>
    <row r="25" spans="1:13" x14ac:dyDescent="0.25">
      <c r="A25" t="s">
        <v>75</v>
      </c>
      <c r="B25" t="s">
        <v>76</v>
      </c>
      <c r="C25" s="1">
        <v>45745</v>
      </c>
      <c r="D25" s="1">
        <v>45775</v>
      </c>
      <c r="E25" s="1">
        <v>45796</v>
      </c>
      <c r="F25" t="s">
        <v>45</v>
      </c>
      <c r="G25" t="s">
        <v>53</v>
      </c>
      <c r="H25">
        <v>3791.06</v>
      </c>
      <c r="I25">
        <v>3791.06</v>
      </c>
      <c r="J25" t="s">
        <v>25</v>
      </c>
      <c r="K25" t="s">
        <v>18</v>
      </c>
      <c r="L25" t="s">
        <v>19</v>
      </c>
      <c r="M25" t="s">
        <v>39</v>
      </c>
    </row>
    <row r="26" spans="1:13" x14ac:dyDescent="0.25">
      <c r="A26" t="s">
        <v>77</v>
      </c>
      <c r="B26" t="s">
        <v>78</v>
      </c>
      <c r="C26" s="1">
        <v>45750</v>
      </c>
      <c r="D26" s="1">
        <v>45780</v>
      </c>
      <c r="E26" s="1">
        <v>45800</v>
      </c>
      <c r="F26" t="s">
        <v>30</v>
      </c>
      <c r="G26" t="s">
        <v>69</v>
      </c>
      <c r="H26">
        <v>2502.98</v>
      </c>
      <c r="I26">
        <v>2502.98</v>
      </c>
      <c r="J26" t="s">
        <v>25</v>
      </c>
      <c r="K26" t="s">
        <v>18</v>
      </c>
      <c r="L26" t="s">
        <v>19</v>
      </c>
      <c r="M26" t="s">
        <v>39</v>
      </c>
    </row>
    <row r="27" spans="1:13" x14ac:dyDescent="0.25">
      <c r="A27" t="s">
        <v>79</v>
      </c>
      <c r="B27" t="s">
        <v>48</v>
      </c>
      <c r="C27" s="1">
        <v>45751</v>
      </c>
      <c r="D27" s="1">
        <v>45781</v>
      </c>
      <c r="E27" s="1">
        <v>45805</v>
      </c>
      <c r="F27" t="s">
        <v>23</v>
      </c>
      <c r="G27" t="s">
        <v>69</v>
      </c>
      <c r="H27">
        <v>1738.82</v>
      </c>
      <c r="I27">
        <v>1015.16</v>
      </c>
      <c r="J27" t="s">
        <v>66</v>
      </c>
      <c r="K27" t="s">
        <v>26</v>
      </c>
      <c r="L27" t="s">
        <v>34</v>
      </c>
      <c r="M27" t="s">
        <v>46</v>
      </c>
    </row>
    <row r="28" spans="1:13" x14ac:dyDescent="0.25">
      <c r="A28" t="s">
        <v>80</v>
      </c>
      <c r="B28" t="s">
        <v>81</v>
      </c>
      <c r="C28" s="1">
        <v>45751</v>
      </c>
      <c r="D28" s="1">
        <v>45781</v>
      </c>
      <c r="E28" s="1">
        <v>45780</v>
      </c>
      <c r="F28" t="s">
        <v>30</v>
      </c>
      <c r="G28" t="s">
        <v>53</v>
      </c>
      <c r="H28">
        <v>5531.15</v>
      </c>
      <c r="I28">
        <v>5531.15</v>
      </c>
      <c r="J28" t="s">
        <v>25</v>
      </c>
      <c r="K28" t="s">
        <v>18</v>
      </c>
      <c r="L28" t="s">
        <v>19</v>
      </c>
      <c r="M28" t="s">
        <v>28</v>
      </c>
    </row>
    <row r="29" spans="1:13" x14ac:dyDescent="0.25">
      <c r="A29" t="s">
        <v>82</v>
      </c>
      <c r="B29" t="s">
        <v>64</v>
      </c>
      <c r="C29" s="1">
        <v>45753</v>
      </c>
      <c r="D29" s="1">
        <v>45783</v>
      </c>
      <c r="E29" s="1">
        <v>45803</v>
      </c>
      <c r="F29" t="s">
        <v>23</v>
      </c>
      <c r="G29" t="s">
        <v>53</v>
      </c>
      <c r="H29">
        <v>5084.32</v>
      </c>
      <c r="I29">
        <v>2610.7600000000002</v>
      </c>
      <c r="J29" t="s">
        <v>66</v>
      </c>
      <c r="K29" t="s">
        <v>18</v>
      </c>
      <c r="L29" t="s">
        <v>19</v>
      </c>
      <c r="M29" t="s">
        <v>42</v>
      </c>
    </row>
    <row r="30" spans="1:13" x14ac:dyDescent="0.25">
      <c r="A30" t="s">
        <v>83</v>
      </c>
      <c r="B30" t="s">
        <v>50</v>
      </c>
      <c r="C30" s="1">
        <v>45760</v>
      </c>
      <c r="D30" s="1">
        <v>45790</v>
      </c>
      <c r="E30" s="1">
        <v>45782</v>
      </c>
      <c r="F30" t="s">
        <v>59</v>
      </c>
      <c r="G30" t="s">
        <v>69</v>
      </c>
      <c r="H30">
        <v>2769.77</v>
      </c>
      <c r="I30">
        <v>2769.77</v>
      </c>
      <c r="J30" t="s">
        <v>25</v>
      </c>
      <c r="K30" t="s">
        <v>18</v>
      </c>
      <c r="L30" t="s">
        <v>19</v>
      </c>
      <c r="M30" t="s">
        <v>39</v>
      </c>
    </row>
    <row r="31" spans="1:13" x14ac:dyDescent="0.25">
      <c r="A31" t="s">
        <v>84</v>
      </c>
      <c r="B31" t="s">
        <v>48</v>
      </c>
      <c r="C31" s="1">
        <v>45763</v>
      </c>
      <c r="D31" s="1">
        <v>45793</v>
      </c>
      <c r="E31" s="1">
        <v>45834</v>
      </c>
      <c r="F31" t="s">
        <v>23</v>
      </c>
      <c r="G31" t="s">
        <v>69</v>
      </c>
      <c r="H31">
        <v>2345.08</v>
      </c>
      <c r="I31">
        <v>1127.6600000000001</v>
      </c>
      <c r="J31" t="s">
        <v>66</v>
      </c>
      <c r="K31" t="s">
        <v>26</v>
      </c>
      <c r="L31" t="s">
        <v>85</v>
      </c>
      <c r="M31" t="s">
        <v>32</v>
      </c>
    </row>
    <row r="32" spans="1:13" x14ac:dyDescent="0.25">
      <c r="A32" t="s">
        <v>86</v>
      </c>
      <c r="B32" t="s">
        <v>22</v>
      </c>
      <c r="C32" s="1">
        <v>45763</v>
      </c>
      <c r="D32" s="1">
        <v>45793</v>
      </c>
      <c r="E32" s="1">
        <v>45790</v>
      </c>
      <c r="F32" t="s">
        <v>45</v>
      </c>
      <c r="G32" t="s">
        <v>69</v>
      </c>
      <c r="H32">
        <v>2582.06</v>
      </c>
      <c r="I32">
        <v>2582.06</v>
      </c>
      <c r="J32" t="s">
        <v>25</v>
      </c>
      <c r="K32" t="s">
        <v>18</v>
      </c>
      <c r="L32" t="s">
        <v>19</v>
      </c>
      <c r="M32" t="s">
        <v>28</v>
      </c>
    </row>
    <row r="33" spans="1:13" x14ac:dyDescent="0.25">
      <c r="A33" t="s">
        <v>87</v>
      </c>
      <c r="B33" t="s">
        <v>76</v>
      </c>
      <c r="C33" s="1">
        <v>45763</v>
      </c>
      <c r="D33" s="1">
        <v>45793</v>
      </c>
      <c r="E33" s="1">
        <v>45786</v>
      </c>
      <c r="F33" t="s">
        <v>59</v>
      </c>
      <c r="G33" t="s">
        <v>24</v>
      </c>
      <c r="H33">
        <v>3864.87</v>
      </c>
      <c r="I33">
        <v>3864.87</v>
      </c>
      <c r="J33" t="s">
        <v>25</v>
      </c>
      <c r="K33" t="s">
        <v>18</v>
      </c>
      <c r="L33" t="s">
        <v>19</v>
      </c>
      <c r="M33" t="s">
        <v>28</v>
      </c>
    </row>
    <row r="34" spans="1:13" x14ac:dyDescent="0.25">
      <c r="A34" t="s">
        <v>88</v>
      </c>
      <c r="B34" t="s">
        <v>68</v>
      </c>
      <c r="C34" s="1">
        <v>45763</v>
      </c>
      <c r="D34" s="1">
        <v>45793</v>
      </c>
      <c r="E34" s="1">
        <v>45817</v>
      </c>
      <c r="F34" t="s">
        <v>15</v>
      </c>
      <c r="G34" t="s">
        <v>53</v>
      </c>
      <c r="H34">
        <v>3822.79</v>
      </c>
      <c r="I34">
        <v>3822.79</v>
      </c>
      <c r="J34" t="s">
        <v>25</v>
      </c>
      <c r="K34" t="s">
        <v>18</v>
      </c>
      <c r="L34" t="s">
        <v>19</v>
      </c>
      <c r="M34" t="s">
        <v>20</v>
      </c>
    </row>
    <row r="35" spans="1:13" x14ac:dyDescent="0.25">
      <c r="A35" t="s">
        <v>89</v>
      </c>
      <c r="B35" t="s">
        <v>64</v>
      </c>
      <c r="C35" s="1">
        <v>45766</v>
      </c>
      <c r="D35" s="1">
        <v>45796</v>
      </c>
      <c r="E35" s="1">
        <v>45784</v>
      </c>
      <c r="F35" t="s">
        <v>23</v>
      </c>
      <c r="G35" t="s">
        <v>16</v>
      </c>
      <c r="H35">
        <v>2201.16</v>
      </c>
      <c r="I35">
        <v>2201.16</v>
      </c>
      <c r="J35" t="s">
        <v>25</v>
      </c>
      <c r="K35" t="s">
        <v>18</v>
      </c>
      <c r="L35" t="s">
        <v>19</v>
      </c>
      <c r="M35" t="s">
        <v>20</v>
      </c>
    </row>
    <row r="36" spans="1:13" x14ac:dyDescent="0.25">
      <c r="A36" t="s">
        <v>90</v>
      </c>
      <c r="B36" t="s">
        <v>48</v>
      </c>
      <c r="C36" s="1">
        <v>45768</v>
      </c>
      <c r="D36" s="1">
        <v>45798</v>
      </c>
      <c r="E36" s="1">
        <v>45806</v>
      </c>
      <c r="F36" t="s">
        <v>59</v>
      </c>
      <c r="G36" t="s">
        <v>69</v>
      </c>
      <c r="H36">
        <v>3431.52</v>
      </c>
      <c r="I36">
        <v>3431.52</v>
      </c>
      <c r="J36" t="s">
        <v>25</v>
      </c>
      <c r="K36" t="s">
        <v>18</v>
      </c>
      <c r="L36" t="s">
        <v>19</v>
      </c>
      <c r="M36" t="s">
        <v>39</v>
      </c>
    </row>
    <row r="37" spans="1:13" x14ac:dyDescent="0.25">
      <c r="A37" t="s">
        <v>91</v>
      </c>
      <c r="B37" t="s">
        <v>14</v>
      </c>
      <c r="C37" s="1">
        <v>45771</v>
      </c>
      <c r="D37" s="1">
        <v>45801</v>
      </c>
      <c r="E37" s="1">
        <v>45813</v>
      </c>
      <c r="F37" t="s">
        <v>30</v>
      </c>
      <c r="G37" t="s">
        <v>24</v>
      </c>
      <c r="H37">
        <v>3927.54</v>
      </c>
      <c r="I37">
        <v>3927.54</v>
      </c>
      <c r="J37" t="s">
        <v>25</v>
      </c>
      <c r="K37" t="s">
        <v>18</v>
      </c>
      <c r="L37" t="s">
        <v>19</v>
      </c>
      <c r="M37" t="s">
        <v>39</v>
      </c>
    </row>
    <row r="38" spans="1:13" x14ac:dyDescent="0.25">
      <c r="A38" t="s">
        <v>92</v>
      </c>
      <c r="B38" t="s">
        <v>68</v>
      </c>
      <c r="C38" s="1">
        <v>45771</v>
      </c>
      <c r="D38" s="1">
        <v>45801</v>
      </c>
      <c r="E38" s="1">
        <v>45841</v>
      </c>
      <c r="F38" t="s">
        <v>45</v>
      </c>
      <c r="G38" t="s">
        <v>53</v>
      </c>
      <c r="H38">
        <v>6589.59</v>
      </c>
      <c r="I38">
        <v>2632.67</v>
      </c>
      <c r="J38" t="s">
        <v>66</v>
      </c>
      <c r="K38" t="s">
        <v>26</v>
      </c>
      <c r="L38" t="s">
        <v>93</v>
      </c>
      <c r="M38" t="s">
        <v>32</v>
      </c>
    </row>
    <row r="39" spans="1:13" x14ac:dyDescent="0.25">
      <c r="A39" t="s">
        <v>94</v>
      </c>
      <c r="B39" t="s">
        <v>76</v>
      </c>
      <c r="C39" s="1">
        <v>45777</v>
      </c>
      <c r="D39" s="1">
        <v>45807</v>
      </c>
      <c r="E39" s="1">
        <v>45807</v>
      </c>
      <c r="F39" t="s">
        <v>59</v>
      </c>
      <c r="G39" t="s">
        <v>31</v>
      </c>
      <c r="H39">
        <v>1667.45</v>
      </c>
      <c r="I39">
        <v>1397.57</v>
      </c>
      <c r="J39" t="s">
        <v>66</v>
      </c>
      <c r="K39" t="s">
        <v>26</v>
      </c>
      <c r="L39" t="s">
        <v>38</v>
      </c>
      <c r="M39" t="s">
        <v>28</v>
      </c>
    </row>
    <row r="40" spans="1:13" x14ac:dyDescent="0.25">
      <c r="A40" t="s">
        <v>95</v>
      </c>
      <c r="B40" t="s">
        <v>96</v>
      </c>
      <c r="C40" s="1">
        <v>45777</v>
      </c>
      <c r="D40" s="1">
        <v>45807</v>
      </c>
      <c r="F40" t="s">
        <v>59</v>
      </c>
      <c r="G40" t="s">
        <v>69</v>
      </c>
      <c r="H40">
        <v>1556.91</v>
      </c>
      <c r="I40">
        <v>0</v>
      </c>
      <c r="J40" t="s">
        <v>17</v>
      </c>
      <c r="K40" t="s">
        <v>26</v>
      </c>
      <c r="L40" t="s">
        <v>27</v>
      </c>
      <c r="M40" t="s">
        <v>20</v>
      </c>
    </row>
    <row r="41" spans="1:13" x14ac:dyDescent="0.25">
      <c r="A41" t="s">
        <v>97</v>
      </c>
      <c r="B41" t="s">
        <v>48</v>
      </c>
      <c r="C41" s="1">
        <v>45779</v>
      </c>
      <c r="D41" s="1">
        <v>45809</v>
      </c>
      <c r="E41" s="1">
        <v>45805</v>
      </c>
      <c r="F41" t="s">
        <v>23</v>
      </c>
      <c r="G41" t="s">
        <v>24</v>
      </c>
      <c r="H41">
        <v>4936.3599999999997</v>
      </c>
      <c r="I41">
        <v>2869.76</v>
      </c>
      <c r="J41" t="s">
        <v>66</v>
      </c>
      <c r="K41" t="s">
        <v>26</v>
      </c>
      <c r="L41" t="s">
        <v>85</v>
      </c>
      <c r="M41" t="s">
        <v>39</v>
      </c>
    </row>
    <row r="42" spans="1:13" x14ac:dyDescent="0.25">
      <c r="A42" t="s">
        <v>98</v>
      </c>
      <c r="B42" t="s">
        <v>99</v>
      </c>
      <c r="C42" s="1">
        <v>45779</v>
      </c>
      <c r="D42" s="1">
        <v>45809</v>
      </c>
      <c r="F42" t="s">
        <v>59</v>
      </c>
      <c r="G42" t="s">
        <v>69</v>
      </c>
      <c r="H42">
        <v>935.23</v>
      </c>
      <c r="I42">
        <v>688.62</v>
      </c>
      <c r="J42" t="s">
        <v>66</v>
      </c>
      <c r="K42" t="s">
        <v>18</v>
      </c>
      <c r="L42" t="s">
        <v>19</v>
      </c>
      <c r="M42" t="s">
        <v>20</v>
      </c>
    </row>
    <row r="43" spans="1:13" x14ac:dyDescent="0.25">
      <c r="A43" t="s">
        <v>100</v>
      </c>
      <c r="B43" t="s">
        <v>14</v>
      </c>
      <c r="C43" s="1">
        <v>45780</v>
      </c>
      <c r="D43" s="1">
        <v>45810</v>
      </c>
      <c r="F43" t="s">
        <v>30</v>
      </c>
      <c r="G43" t="s">
        <v>69</v>
      </c>
      <c r="H43">
        <v>1245.6500000000001</v>
      </c>
      <c r="I43">
        <v>0</v>
      </c>
      <c r="J43" t="s">
        <v>17</v>
      </c>
      <c r="K43" t="s">
        <v>26</v>
      </c>
      <c r="L43" t="s">
        <v>55</v>
      </c>
      <c r="M43" t="s">
        <v>32</v>
      </c>
    </row>
    <row r="44" spans="1:13" x14ac:dyDescent="0.25">
      <c r="A44" t="s">
        <v>101</v>
      </c>
      <c r="B44" t="s">
        <v>44</v>
      </c>
      <c r="C44" s="1">
        <v>45781</v>
      </c>
      <c r="D44" s="1">
        <v>45811</v>
      </c>
      <c r="E44" s="1">
        <v>45827</v>
      </c>
      <c r="F44" t="s">
        <v>59</v>
      </c>
      <c r="G44" t="s">
        <v>24</v>
      </c>
      <c r="H44">
        <v>5718.3</v>
      </c>
      <c r="I44">
        <v>5718.3</v>
      </c>
      <c r="J44" t="s">
        <v>25</v>
      </c>
      <c r="K44" t="s">
        <v>18</v>
      </c>
      <c r="L44" t="s">
        <v>19</v>
      </c>
      <c r="M44" t="s">
        <v>20</v>
      </c>
    </row>
    <row r="45" spans="1:13" x14ac:dyDescent="0.25">
      <c r="A45" t="s">
        <v>102</v>
      </c>
      <c r="B45" t="s">
        <v>58</v>
      </c>
      <c r="C45" s="1">
        <v>45783</v>
      </c>
      <c r="D45" s="1">
        <v>45813</v>
      </c>
      <c r="E45" s="1">
        <v>45813</v>
      </c>
      <c r="F45" t="s">
        <v>45</v>
      </c>
      <c r="G45" t="s">
        <v>37</v>
      </c>
      <c r="H45">
        <v>2994.86</v>
      </c>
      <c r="I45">
        <v>2994.86</v>
      </c>
      <c r="J45" t="s">
        <v>25</v>
      </c>
      <c r="K45" t="s">
        <v>18</v>
      </c>
      <c r="L45" t="s">
        <v>19</v>
      </c>
      <c r="M45" t="s">
        <v>28</v>
      </c>
    </row>
    <row r="46" spans="1:13" x14ac:dyDescent="0.25">
      <c r="A46" t="s">
        <v>103</v>
      </c>
      <c r="B46" t="s">
        <v>68</v>
      </c>
      <c r="C46" s="1">
        <v>45784</v>
      </c>
      <c r="D46" s="1">
        <v>45814</v>
      </c>
      <c r="E46" s="1">
        <v>45800</v>
      </c>
      <c r="F46" t="s">
        <v>23</v>
      </c>
      <c r="G46" t="s">
        <v>16</v>
      </c>
      <c r="H46">
        <v>1595.48</v>
      </c>
      <c r="I46">
        <v>1595.48</v>
      </c>
      <c r="J46" t="s">
        <v>25</v>
      </c>
      <c r="K46" t="s">
        <v>18</v>
      </c>
      <c r="L46" t="s">
        <v>19</v>
      </c>
      <c r="M46" t="s">
        <v>32</v>
      </c>
    </row>
    <row r="47" spans="1:13" x14ac:dyDescent="0.25">
      <c r="A47" t="s">
        <v>104</v>
      </c>
      <c r="B47" t="s">
        <v>96</v>
      </c>
      <c r="C47" s="1">
        <v>45787</v>
      </c>
      <c r="D47" s="1">
        <v>45817</v>
      </c>
      <c r="E47" s="1">
        <v>45840</v>
      </c>
      <c r="F47" t="s">
        <v>30</v>
      </c>
      <c r="G47" t="s">
        <v>69</v>
      </c>
      <c r="H47">
        <v>1889.83</v>
      </c>
      <c r="I47">
        <v>1889.83</v>
      </c>
      <c r="J47" t="s">
        <v>25</v>
      </c>
      <c r="K47" t="s">
        <v>18</v>
      </c>
      <c r="L47" t="s">
        <v>19</v>
      </c>
      <c r="M47" t="s">
        <v>28</v>
      </c>
    </row>
    <row r="48" spans="1:13" x14ac:dyDescent="0.25">
      <c r="A48" t="s">
        <v>105</v>
      </c>
      <c r="B48" t="s">
        <v>41</v>
      </c>
      <c r="C48" s="1">
        <v>45787</v>
      </c>
      <c r="D48" s="1">
        <v>45817</v>
      </c>
      <c r="E48" s="1">
        <v>45796</v>
      </c>
      <c r="F48" t="s">
        <v>15</v>
      </c>
      <c r="G48" t="s">
        <v>16</v>
      </c>
      <c r="H48">
        <v>991.65</v>
      </c>
      <c r="I48">
        <v>991.65</v>
      </c>
      <c r="J48" t="s">
        <v>25</v>
      </c>
      <c r="K48" t="s">
        <v>18</v>
      </c>
      <c r="L48" t="s">
        <v>19</v>
      </c>
      <c r="M48" t="s">
        <v>20</v>
      </c>
    </row>
    <row r="49" spans="1:13" x14ac:dyDescent="0.25">
      <c r="A49" t="s">
        <v>106</v>
      </c>
      <c r="B49" t="s">
        <v>96</v>
      </c>
      <c r="C49" s="1">
        <v>45793</v>
      </c>
      <c r="D49" s="1">
        <v>45823</v>
      </c>
      <c r="F49" t="s">
        <v>30</v>
      </c>
      <c r="G49" t="s">
        <v>69</v>
      </c>
      <c r="H49">
        <v>2457.1999999999998</v>
      </c>
      <c r="I49">
        <v>0</v>
      </c>
      <c r="J49" t="s">
        <v>17</v>
      </c>
      <c r="K49" t="s">
        <v>26</v>
      </c>
      <c r="L49" t="s">
        <v>55</v>
      </c>
      <c r="M49" t="s">
        <v>39</v>
      </c>
    </row>
    <row r="50" spans="1:13" x14ac:dyDescent="0.25">
      <c r="A50" t="s">
        <v>107</v>
      </c>
      <c r="B50" t="s">
        <v>96</v>
      </c>
      <c r="C50" s="1">
        <v>45795</v>
      </c>
      <c r="D50" s="1">
        <v>45825</v>
      </c>
      <c r="E50" s="1">
        <v>45847</v>
      </c>
      <c r="F50" t="s">
        <v>59</v>
      </c>
      <c r="G50" t="s">
        <v>53</v>
      </c>
      <c r="H50">
        <v>5620.1</v>
      </c>
      <c r="I50">
        <v>5620.1</v>
      </c>
      <c r="J50" t="s">
        <v>25</v>
      </c>
      <c r="K50" t="s">
        <v>18</v>
      </c>
      <c r="L50" t="s">
        <v>19</v>
      </c>
      <c r="M50" t="s">
        <v>20</v>
      </c>
    </row>
    <row r="51" spans="1:13" x14ac:dyDescent="0.25">
      <c r="A51" t="s">
        <v>108</v>
      </c>
      <c r="B51" t="s">
        <v>14</v>
      </c>
      <c r="C51" s="1">
        <v>45795</v>
      </c>
      <c r="D51" s="1">
        <v>45825</v>
      </c>
      <c r="E51" s="1">
        <v>45839</v>
      </c>
      <c r="F51" t="s">
        <v>30</v>
      </c>
      <c r="G51" t="s">
        <v>53</v>
      </c>
      <c r="H51">
        <v>3123.16</v>
      </c>
      <c r="I51">
        <v>2457.79</v>
      </c>
      <c r="J51" t="s">
        <v>66</v>
      </c>
      <c r="K51" t="s">
        <v>26</v>
      </c>
      <c r="L51" t="s">
        <v>93</v>
      </c>
      <c r="M51" t="s">
        <v>32</v>
      </c>
    </row>
    <row r="52" spans="1:13" x14ac:dyDescent="0.25">
      <c r="A52" t="s">
        <v>109</v>
      </c>
      <c r="B52" t="s">
        <v>44</v>
      </c>
      <c r="C52" s="1">
        <v>45796</v>
      </c>
      <c r="D52" s="1">
        <v>45826</v>
      </c>
      <c r="E52" s="1">
        <v>45820</v>
      </c>
      <c r="F52" t="s">
        <v>30</v>
      </c>
      <c r="G52" t="s">
        <v>16</v>
      </c>
      <c r="H52">
        <v>763.39</v>
      </c>
      <c r="I52">
        <v>763.39</v>
      </c>
      <c r="J52" t="s">
        <v>25</v>
      </c>
      <c r="K52" t="s">
        <v>18</v>
      </c>
      <c r="L52" t="s">
        <v>19</v>
      </c>
      <c r="M52" t="s">
        <v>39</v>
      </c>
    </row>
    <row r="53" spans="1:13" x14ac:dyDescent="0.25">
      <c r="A53" t="s">
        <v>110</v>
      </c>
      <c r="B53" t="s">
        <v>111</v>
      </c>
      <c r="C53" s="1">
        <v>45797</v>
      </c>
      <c r="D53" s="1">
        <v>45827</v>
      </c>
      <c r="E53" s="1">
        <v>45816</v>
      </c>
      <c r="F53" t="s">
        <v>45</v>
      </c>
      <c r="G53" t="s">
        <v>69</v>
      </c>
      <c r="H53">
        <v>3115.14</v>
      </c>
      <c r="I53">
        <v>3115.14</v>
      </c>
      <c r="J53" t="s">
        <v>25</v>
      </c>
      <c r="K53" t="s">
        <v>18</v>
      </c>
      <c r="L53" t="s">
        <v>19</v>
      </c>
      <c r="M53" t="s">
        <v>28</v>
      </c>
    </row>
    <row r="54" spans="1:13" x14ac:dyDescent="0.25">
      <c r="A54" t="s">
        <v>112</v>
      </c>
      <c r="B54" t="s">
        <v>14</v>
      </c>
      <c r="C54" s="1">
        <v>45797</v>
      </c>
      <c r="D54" s="1">
        <v>45827</v>
      </c>
      <c r="E54" s="1">
        <v>45830</v>
      </c>
      <c r="F54" t="s">
        <v>23</v>
      </c>
      <c r="G54" t="s">
        <v>37</v>
      </c>
      <c r="H54">
        <v>7840.47</v>
      </c>
      <c r="I54">
        <v>7840.47</v>
      </c>
      <c r="J54" t="s">
        <v>25</v>
      </c>
      <c r="K54" t="s">
        <v>26</v>
      </c>
      <c r="L54" t="s">
        <v>113</v>
      </c>
      <c r="M54" t="s">
        <v>46</v>
      </c>
    </row>
    <row r="55" spans="1:13" x14ac:dyDescent="0.25">
      <c r="A55" t="s">
        <v>114</v>
      </c>
      <c r="B55" t="s">
        <v>50</v>
      </c>
      <c r="C55" s="1">
        <v>45797</v>
      </c>
      <c r="D55" s="1">
        <v>45827</v>
      </c>
      <c r="F55" t="s">
        <v>45</v>
      </c>
      <c r="G55" t="s">
        <v>37</v>
      </c>
      <c r="H55">
        <v>3559.63</v>
      </c>
      <c r="I55">
        <v>0</v>
      </c>
      <c r="J55" t="s">
        <v>17</v>
      </c>
      <c r="K55" t="s">
        <v>18</v>
      </c>
      <c r="L55" t="s">
        <v>19</v>
      </c>
      <c r="M55" t="s">
        <v>28</v>
      </c>
    </row>
    <row r="56" spans="1:13" x14ac:dyDescent="0.25">
      <c r="A56" t="s">
        <v>115</v>
      </c>
      <c r="B56" t="s">
        <v>76</v>
      </c>
      <c r="C56" s="1">
        <v>45798</v>
      </c>
      <c r="D56" s="1">
        <v>45828</v>
      </c>
      <c r="E56" s="1">
        <v>45866</v>
      </c>
      <c r="F56" t="s">
        <v>45</v>
      </c>
      <c r="G56" t="s">
        <v>31</v>
      </c>
      <c r="H56">
        <v>3507.11</v>
      </c>
      <c r="I56">
        <v>1896.5</v>
      </c>
      <c r="J56" t="s">
        <v>66</v>
      </c>
      <c r="K56" t="s">
        <v>26</v>
      </c>
      <c r="L56" t="s">
        <v>93</v>
      </c>
      <c r="M56" t="s">
        <v>42</v>
      </c>
    </row>
    <row r="57" spans="1:13" x14ac:dyDescent="0.25">
      <c r="A57" t="s">
        <v>116</v>
      </c>
      <c r="B57" t="s">
        <v>81</v>
      </c>
      <c r="C57" s="1">
        <v>45800</v>
      </c>
      <c r="D57" s="1">
        <v>45830</v>
      </c>
      <c r="E57" s="1">
        <v>45843</v>
      </c>
      <c r="F57" t="s">
        <v>30</v>
      </c>
      <c r="G57" t="s">
        <v>16</v>
      </c>
      <c r="H57">
        <v>1774.39</v>
      </c>
      <c r="I57">
        <v>519.62</v>
      </c>
      <c r="J57" t="s">
        <v>66</v>
      </c>
      <c r="K57" t="s">
        <v>18</v>
      </c>
      <c r="L57" t="s">
        <v>19</v>
      </c>
      <c r="M57" t="s">
        <v>32</v>
      </c>
    </row>
    <row r="58" spans="1:13" x14ac:dyDescent="0.25">
      <c r="A58" t="s">
        <v>117</v>
      </c>
      <c r="B58" t="s">
        <v>118</v>
      </c>
      <c r="C58" s="1">
        <v>45801</v>
      </c>
      <c r="D58" s="1">
        <v>45831</v>
      </c>
      <c r="E58" s="1">
        <v>45813</v>
      </c>
      <c r="F58" t="s">
        <v>30</v>
      </c>
      <c r="G58" t="s">
        <v>31</v>
      </c>
      <c r="H58">
        <v>3486.24</v>
      </c>
      <c r="I58">
        <v>3486.24</v>
      </c>
      <c r="J58" t="s">
        <v>25</v>
      </c>
      <c r="K58" t="s">
        <v>18</v>
      </c>
      <c r="L58" t="s">
        <v>19</v>
      </c>
      <c r="M58" t="s">
        <v>42</v>
      </c>
    </row>
    <row r="59" spans="1:13" x14ac:dyDescent="0.25">
      <c r="A59" t="s">
        <v>119</v>
      </c>
      <c r="B59" t="s">
        <v>96</v>
      </c>
      <c r="C59" s="1">
        <v>45801</v>
      </c>
      <c r="D59" s="1">
        <v>45831</v>
      </c>
      <c r="E59" s="1">
        <v>45870</v>
      </c>
      <c r="F59" t="s">
        <v>45</v>
      </c>
      <c r="G59" t="s">
        <v>69</v>
      </c>
      <c r="H59">
        <v>1529.33</v>
      </c>
      <c r="I59">
        <v>942.61</v>
      </c>
      <c r="J59" t="s">
        <v>66</v>
      </c>
      <c r="K59" t="s">
        <v>18</v>
      </c>
      <c r="L59" t="s">
        <v>19</v>
      </c>
      <c r="M59" t="s">
        <v>20</v>
      </c>
    </row>
    <row r="60" spans="1:13" x14ac:dyDescent="0.25">
      <c r="A60" t="s">
        <v>120</v>
      </c>
      <c r="B60" t="s">
        <v>71</v>
      </c>
      <c r="C60" s="1">
        <v>45807</v>
      </c>
      <c r="D60" s="1">
        <v>45837</v>
      </c>
      <c r="E60" s="1">
        <v>45851</v>
      </c>
      <c r="F60" t="s">
        <v>45</v>
      </c>
      <c r="G60" t="s">
        <v>31</v>
      </c>
      <c r="H60">
        <v>3539.51</v>
      </c>
      <c r="I60">
        <v>3539.51</v>
      </c>
      <c r="J60" t="s">
        <v>25</v>
      </c>
      <c r="K60" t="s">
        <v>18</v>
      </c>
      <c r="L60" t="s">
        <v>19</v>
      </c>
      <c r="M60" t="s">
        <v>39</v>
      </c>
    </row>
    <row r="61" spans="1:13" x14ac:dyDescent="0.25">
      <c r="A61" t="s">
        <v>121</v>
      </c>
      <c r="B61" t="s">
        <v>118</v>
      </c>
      <c r="C61" s="1">
        <v>45808</v>
      </c>
      <c r="D61" s="1">
        <v>45838</v>
      </c>
      <c r="E61" s="1">
        <v>45836</v>
      </c>
      <c r="F61" t="s">
        <v>15</v>
      </c>
      <c r="G61" t="s">
        <v>16</v>
      </c>
      <c r="H61">
        <v>538.49</v>
      </c>
      <c r="I61">
        <v>538.49</v>
      </c>
      <c r="J61" t="s">
        <v>25</v>
      </c>
      <c r="K61" t="s">
        <v>18</v>
      </c>
      <c r="L61" t="s">
        <v>19</v>
      </c>
      <c r="M61" t="s">
        <v>46</v>
      </c>
    </row>
    <row r="62" spans="1:13" x14ac:dyDescent="0.25">
      <c r="A62" t="s">
        <v>122</v>
      </c>
      <c r="B62" t="s">
        <v>52</v>
      </c>
      <c r="C62" s="1">
        <v>45808</v>
      </c>
      <c r="D62" s="1">
        <v>45838</v>
      </c>
      <c r="F62" t="s">
        <v>15</v>
      </c>
      <c r="G62" t="s">
        <v>31</v>
      </c>
      <c r="H62">
        <v>1009.39</v>
      </c>
      <c r="I62">
        <v>0</v>
      </c>
      <c r="J62" t="s">
        <v>17</v>
      </c>
      <c r="K62" t="s">
        <v>18</v>
      </c>
      <c r="L62" t="s">
        <v>19</v>
      </c>
      <c r="M62" t="s">
        <v>39</v>
      </c>
    </row>
    <row r="63" spans="1:13" x14ac:dyDescent="0.25">
      <c r="A63" t="s">
        <v>123</v>
      </c>
      <c r="B63" t="s">
        <v>96</v>
      </c>
      <c r="C63" s="1">
        <v>45809</v>
      </c>
      <c r="D63" s="1">
        <v>45839</v>
      </c>
      <c r="E63" s="1">
        <v>45845</v>
      </c>
      <c r="F63" t="s">
        <v>15</v>
      </c>
      <c r="G63" t="s">
        <v>16</v>
      </c>
      <c r="H63">
        <v>525.72</v>
      </c>
      <c r="I63">
        <v>525.72</v>
      </c>
      <c r="J63" t="s">
        <v>25</v>
      </c>
      <c r="K63" t="s">
        <v>18</v>
      </c>
      <c r="L63" t="s">
        <v>19</v>
      </c>
      <c r="M63" t="s">
        <v>42</v>
      </c>
    </row>
    <row r="64" spans="1:13" x14ac:dyDescent="0.25">
      <c r="A64" t="s">
        <v>124</v>
      </c>
      <c r="B64" t="s">
        <v>111</v>
      </c>
      <c r="C64" s="1">
        <v>45812</v>
      </c>
      <c r="D64" s="1">
        <v>45842</v>
      </c>
      <c r="E64" s="1">
        <v>45852</v>
      </c>
      <c r="F64" t="s">
        <v>23</v>
      </c>
      <c r="G64" t="s">
        <v>37</v>
      </c>
      <c r="H64">
        <v>1727.9</v>
      </c>
      <c r="I64">
        <v>1727.9</v>
      </c>
      <c r="J64" t="s">
        <v>25</v>
      </c>
      <c r="K64" t="s">
        <v>18</v>
      </c>
      <c r="L64" t="s">
        <v>19</v>
      </c>
      <c r="M64" t="s">
        <v>42</v>
      </c>
    </row>
    <row r="65" spans="1:13" x14ac:dyDescent="0.25">
      <c r="A65" t="s">
        <v>125</v>
      </c>
      <c r="B65" t="s">
        <v>126</v>
      </c>
      <c r="C65" s="1">
        <v>45814</v>
      </c>
      <c r="D65" s="1">
        <v>45844</v>
      </c>
      <c r="F65" t="s">
        <v>15</v>
      </c>
      <c r="G65" t="s">
        <v>37</v>
      </c>
      <c r="H65">
        <v>8058.74</v>
      </c>
      <c r="I65">
        <v>0</v>
      </c>
      <c r="J65" t="s">
        <v>17</v>
      </c>
      <c r="K65" t="s">
        <v>26</v>
      </c>
      <c r="L65" t="s">
        <v>55</v>
      </c>
      <c r="M65" t="s">
        <v>28</v>
      </c>
    </row>
    <row r="66" spans="1:13" x14ac:dyDescent="0.25">
      <c r="A66" t="s">
        <v>127</v>
      </c>
      <c r="B66" t="s">
        <v>52</v>
      </c>
      <c r="C66" s="1">
        <v>45814</v>
      </c>
      <c r="D66" s="1">
        <v>45844</v>
      </c>
      <c r="E66" s="1">
        <v>45854</v>
      </c>
      <c r="F66" t="s">
        <v>23</v>
      </c>
      <c r="G66" t="s">
        <v>31</v>
      </c>
      <c r="H66">
        <v>2175.12</v>
      </c>
      <c r="I66">
        <v>2175.12</v>
      </c>
      <c r="J66" t="s">
        <v>25</v>
      </c>
      <c r="K66" t="s">
        <v>18</v>
      </c>
      <c r="L66" t="s">
        <v>19</v>
      </c>
      <c r="M66" t="s">
        <v>42</v>
      </c>
    </row>
    <row r="67" spans="1:13" x14ac:dyDescent="0.25">
      <c r="A67" t="s">
        <v>128</v>
      </c>
      <c r="B67" t="s">
        <v>64</v>
      </c>
      <c r="C67" s="1">
        <v>45818</v>
      </c>
      <c r="D67" s="1">
        <v>45848</v>
      </c>
      <c r="E67" s="1">
        <v>45847</v>
      </c>
      <c r="F67" t="s">
        <v>15</v>
      </c>
      <c r="G67" t="s">
        <v>37</v>
      </c>
      <c r="H67">
        <v>5100.6099999999997</v>
      </c>
      <c r="I67">
        <v>5100.6099999999997</v>
      </c>
      <c r="J67" t="s">
        <v>25</v>
      </c>
      <c r="K67" t="s">
        <v>18</v>
      </c>
      <c r="L67" t="s">
        <v>19</v>
      </c>
      <c r="M67" t="s">
        <v>20</v>
      </c>
    </row>
    <row r="68" spans="1:13" x14ac:dyDescent="0.25">
      <c r="A68" t="s">
        <v>129</v>
      </c>
      <c r="B68" t="s">
        <v>36</v>
      </c>
      <c r="C68" s="1">
        <v>45819</v>
      </c>
      <c r="D68" s="1">
        <v>45849</v>
      </c>
      <c r="F68" t="s">
        <v>23</v>
      </c>
      <c r="G68" t="s">
        <v>16</v>
      </c>
      <c r="H68">
        <v>1433.84</v>
      </c>
      <c r="I68">
        <v>0</v>
      </c>
      <c r="J68" t="s">
        <v>17</v>
      </c>
      <c r="K68" t="s">
        <v>26</v>
      </c>
      <c r="L68" t="s">
        <v>27</v>
      </c>
      <c r="M68" t="s">
        <v>42</v>
      </c>
    </row>
    <row r="69" spans="1:13" x14ac:dyDescent="0.25">
      <c r="A69" t="s">
        <v>130</v>
      </c>
      <c r="B69" t="s">
        <v>99</v>
      </c>
      <c r="C69" s="1">
        <v>45820</v>
      </c>
      <c r="D69" s="1">
        <v>45850</v>
      </c>
      <c r="E69" s="1">
        <v>45865</v>
      </c>
      <c r="F69" t="s">
        <v>15</v>
      </c>
      <c r="G69" t="s">
        <v>16</v>
      </c>
      <c r="H69">
        <v>1831.58</v>
      </c>
      <c r="I69">
        <v>1831.58</v>
      </c>
      <c r="J69" t="s">
        <v>25</v>
      </c>
      <c r="K69" t="s">
        <v>18</v>
      </c>
      <c r="L69" t="s">
        <v>19</v>
      </c>
      <c r="M69" t="s">
        <v>39</v>
      </c>
    </row>
    <row r="70" spans="1:13" x14ac:dyDescent="0.25">
      <c r="A70" t="s">
        <v>131</v>
      </c>
      <c r="B70" t="s">
        <v>36</v>
      </c>
      <c r="C70" s="1">
        <v>45822</v>
      </c>
      <c r="D70" s="1">
        <v>45852</v>
      </c>
      <c r="E70" s="1">
        <v>45866</v>
      </c>
      <c r="F70" t="s">
        <v>45</v>
      </c>
      <c r="G70" t="s">
        <v>31</v>
      </c>
      <c r="H70">
        <v>4284.25</v>
      </c>
      <c r="I70">
        <v>4284.25</v>
      </c>
      <c r="J70" t="s">
        <v>25</v>
      </c>
      <c r="K70" t="s">
        <v>18</v>
      </c>
      <c r="L70" t="s">
        <v>19</v>
      </c>
      <c r="M70" t="s">
        <v>39</v>
      </c>
    </row>
    <row r="71" spans="1:13" x14ac:dyDescent="0.25">
      <c r="A71" t="s">
        <v>132</v>
      </c>
      <c r="B71" t="s">
        <v>81</v>
      </c>
      <c r="C71" s="1">
        <v>45824</v>
      </c>
      <c r="D71" s="1">
        <v>45854</v>
      </c>
      <c r="E71" s="1">
        <v>45871</v>
      </c>
      <c r="F71" t="s">
        <v>59</v>
      </c>
      <c r="G71" t="s">
        <v>24</v>
      </c>
      <c r="H71">
        <v>2574.5</v>
      </c>
      <c r="I71">
        <v>2574.5</v>
      </c>
      <c r="J71" t="s">
        <v>25</v>
      </c>
      <c r="K71" t="s">
        <v>18</v>
      </c>
      <c r="L71" t="s">
        <v>19</v>
      </c>
      <c r="M71" t="s">
        <v>46</v>
      </c>
    </row>
    <row r="72" spans="1:13" x14ac:dyDescent="0.25">
      <c r="A72" t="s">
        <v>133</v>
      </c>
      <c r="B72" t="s">
        <v>111</v>
      </c>
      <c r="C72" s="1">
        <v>45825</v>
      </c>
      <c r="D72" s="1">
        <v>45855</v>
      </c>
      <c r="E72" s="1">
        <v>45874</v>
      </c>
      <c r="F72" t="s">
        <v>15</v>
      </c>
      <c r="G72" t="s">
        <v>24</v>
      </c>
      <c r="H72">
        <v>1766.1</v>
      </c>
      <c r="I72">
        <v>1766.1</v>
      </c>
      <c r="J72" t="s">
        <v>25</v>
      </c>
      <c r="K72" t="s">
        <v>18</v>
      </c>
      <c r="L72" t="s">
        <v>19</v>
      </c>
      <c r="M72" t="s">
        <v>28</v>
      </c>
    </row>
    <row r="73" spans="1:13" x14ac:dyDescent="0.25">
      <c r="A73" t="s">
        <v>134</v>
      </c>
      <c r="B73" t="s">
        <v>50</v>
      </c>
      <c r="C73" s="1">
        <v>45828</v>
      </c>
      <c r="D73" s="1">
        <v>45858</v>
      </c>
      <c r="F73" t="s">
        <v>23</v>
      </c>
      <c r="G73" t="s">
        <v>37</v>
      </c>
      <c r="H73">
        <v>5429.12</v>
      </c>
      <c r="I73">
        <v>2910.41</v>
      </c>
      <c r="J73" t="s">
        <v>66</v>
      </c>
      <c r="K73" t="s">
        <v>26</v>
      </c>
      <c r="L73" t="s">
        <v>93</v>
      </c>
      <c r="M73" t="s">
        <v>28</v>
      </c>
    </row>
    <row r="74" spans="1:13" x14ac:dyDescent="0.25">
      <c r="A74" t="s">
        <v>135</v>
      </c>
      <c r="B74" t="s">
        <v>71</v>
      </c>
      <c r="C74" s="1">
        <v>45830</v>
      </c>
      <c r="D74" s="1">
        <v>45860</v>
      </c>
      <c r="E74" s="1">
        <v>45862</v>
      </c>
      <c r="F74" t="s">
        <v>45</v>
      </c>
      <c r="G74" t="s">
        <v>16</v>
      </c>
      <c r="H74">
        <v>1212.77</v>
      </c>
      <c r="I74">
        <v>1212.77</v>
      </c>
      <c r="J74" t="s">
        <v>25</v>
      </c>
      <c r="K74" t="s">
        <v>18</v>
      </c>
      <c r="L74" t="s">
        <v>19</v>
      </c>
      <c r="M74" t="s">
        <v>46</v>
      </c>
    </row>
    <row r="75" spans="1:13" x14ac:dyDescent="0.25">
      <c r="A75" t="s">
        <v>136</v>
      </c>
      <c r="B75" t="s">
        <v>96</v>
      </c>
      <c r="C75" s="1">
        <v>45830</v>
      </c>
      <c r="D75" s="1">
        <v>45860</v>
      </c>
      <c r="E75" s="1">
        <v>45902</v>
      </c>
      <c r="F75" t="s">
        <v>59</v>
      </c>
      <c r="G75" t="s">
        <v>53</v>
      </c>
      <c r="H75">
        <v>1902.94</v>
      </c>
      <c r="I75">
        <v>950.53</v>
      </c>
      <c r="J75" t="s">
        <v>66</v>
      </c>
      <c r="K75" t="s">
        <v>18</v>
      </c>
      <c r="L75" t="s">
        <v>19</v>
      </c>
      <c r="M75" t="s">
        <v>20</v>
      </c>
    </row>
    <row r="76" spans="1:13" x14ac:dyDescent="0.25">
      <c r="A76" t="s">
        <v>137</v>
      </c>
      <c r="B76" t="s">
        <v>50</v>
      </c>
      <c r="C76" s="1">
        <v>45832</v>
      </c>
      <c r="D76" s="1">
        <v>45862</v>
      </c>
      <c r="F76" t="s">
        <v>59</v>
      </c>
      <c r="G76" t="s">
        <v>53</v>
      </c>
      <c r="H76">
        <v>1132.74</v>
      </c>
      <c r="I76">
        <v>0</v>
      </c>
      <c r="J76" t="s">
        <v>17</v>
      </c>
      <c r="K76" t="s">
        <v>26</v>
      </c>
      <c r="L76" t="s">
        <v>34</v>
      </c>
      <c r="M76" t="s">
        <v>46</v>
      </c>
    </row>
    <row r="77" spans="1:13" x14ac:dyDescent="0.25">
      <c r="A77" t="s">
        <v>138</v>
      </c>
      <c r="B77" t="s">
        <v>64</v>
      </c>
      <c r="C77" s="1">
        <v>45832</v>
      </c>
      <c r="D77" s="1">
        <v>45862</v>
      </c>
      <c r="E77" s="1">
        <v>45847</v>
      </c>
      <c r="F77" t="s">
        <v>45</v>
      </c>
      <c r="G77" t="s">
        <v>37</v>
      </c>
      <c r="H77">
        <v>1904.36</v>
      </c>
      <c r="I77">
        <v>1904.36</v>
      </c>
      <c r="J77" t="s">
        <v>25</v>
      </c>
      <c r="K77" t="s">
        <v>18</v>
      </c>
      <c r="L77" t="s">
        <v>19</v>
      </c>
      <c r="M77" t="s">
        <v>42</v>
      </c>
    </row>
    <row r="78" spans="1:13" x14ac:dyDescent="0.25">
      <c r="A78" t="s">
        <v>139</v>
      </c>
      <c r="B78" t="s">
        <v>41</v>
      </c>
      <c r="C78" s="1">
        <v>45832</v>
      </c>
      <c r="D78" s="1">
        <v>45862</v>
      </c>
      <c r="E78" s="1">
        <v>45883</v>
      </c>
      <c r="F78" t="s">
        <v>45</v>
      </c>
      <c r="G78" t="s">
        <v>37</v>
      </c>
      <c r="H78">
        <v>5985.87</v>
      </c>
      <c r="I78">
        <v>1600.45</v>
      </c>
      <c r="J78" t="s">
        <v>66</v>
      </c>
      <c r="K78" t="s">
        <v>26</v>
      </c>
      <c r="L78" t="s">
        <v>55</v>
      </c>
      <c r="M78" t="s">
        <v>39</v>
      </c>
    </row>
    <row r="79" spans="1:13" x14ac:dyDescent="0.25">
      <c r="A79" t="s">
        <v>140</v>
      </c>
      <c r="B79" t="s">
        <v>99</v>
      </c>
      <c r="C79" s="1">
        <v>45832</v>
      </c>
      <c r="D79" s="1">
        <v>45862</v>
      </c>
      <c r="F79" t="s">
        <v>59</v>
      </c>
      <c r="G79" t="s">
        <v>53</v>
      </c>
      <c r="H79">
        <v>2929.7</v>
      </c>
      <c r="I79">
        <v>2200.42</v>
      </c>
      <c r="J79" t="s">
        <v>66</v>
      </c>
      <c r="K79" t="s">
        <v>26</v>
      </c>
      <c r="L79" t="s">
        <v>93</v>
      </c>
      <c r="M79" t="s">
        <v>46</v>
      </c>
    </row>
    <row r="80" spans="1:13" x14ac:dyDescent="0.25">
      <c r="A80" t="s">
        <v>141</v>
      </c>
      <c r="B80" t="s">
        <v>41</v>
      </c>
      <c r="C80" s="1">
        <v>45835</v>
      </c>
      <c r="D80" s="1">
        <v>45865</v>
      </c>
      <c r="E80" s="1">
        <v>45869</v>
      </c>
      <c r="F80" t="s">
        <v>15</v>
      </c>
      <c r="G80" t="s">
        <v>24</v>
      </c>
      <c r="H80">
        <v>5206.7700000000004</v>
      </c>
      <c r="I80">
        <v>5206.7700000000004</v>
      </c>
      <c r="J80" t="s">
        <v>25</v>
      </c>
      <c r="K80" t="s">
        <v>18</v>
      </c>
      <c r="L80" t="s">
        <v>19</v>
      </c>
      <c r="M80" t="s">
        <v>28</v>
      </c>
    </row>
    <row r="81" spans="1:13" x14ac:dyDescent="0.25">
      <c r="A81" t="s">
        <v>142</v>
      </c>
      <c r="B81" t="s">
        <v>52</v>
      </c>
      <c r="C81" s="1">
        <v>45837</v>
      </c>
      <c r="D81" s="1">
        <v>45867</v>
      </c>
      <c r="E81" s="1">
        <v>45868</v>
      </c>
      <c r="F81" t="s">
        <v>15</v>
      </c>
      <c r="G81" t="s">
        <v>53</v>
      </c>
      <c r="H81">
        <v>4066.24</v>
      </c>
      <c r="I81">
        <v>3324.49</v>
      </c>
      <c r="J81" t="s">
        <v>66</v>
      </c>
      <c r="K81" t="s">
        <v>18</v>
      </c>
      <c r="L81" t="s">
        <v>19</v>
      </c>
      <c r="M81" t="s">
        <v>20</v>
      </c>
    </row>
    <row r="82" spans="1:13" x14ac:dyDescent="0.25">
      <c r="A82" t="s">
        <v>143</v>
      </c>
      <c r="B82" t="s">
        <v>14</v>
      </c>
      <c r="C82" s="1">
        <v>45838</v>
      </c>
      <c r="D82" s="1">
        <v>45868</v>
      </c>
      <c r="E82" s="1">
        <v>45882</v>
      </c>
      <c r="F82" t="s">
        <v>30</v>
      </c>
      <c r="G82" t="s">
        <v>24</v>
      </c>
      <c r="H82">
        <v>1835.46</v>
      </c>
      <c r="I82">
        <v>1835.46</v>
      </c>
      <c r="J82" t="s">
        <v>25</v>
      </c>
      <c r="K82" t="s">
        <v>18</v>
      </c>
      <c r="L82" t="s">
        <v>19</v>
      </c>
      <c r="M82" t="s">
        <v>20</v>
      </c>
    </row>
    <row r="83" spans="1:13" x14ac:dyDescent="0.25">
      <c r="A83" t="s">
        <v>144</v>
      </c>
      <c r="B83" t="s">
        <v>64</v>
      </c>
      <c r="C83" s="1">
        <v>45838</v>
      </c>
      <c r="D83" s="1">
        <v>45868</v>
      </c>
      <c r="F83" t="s">
        <v>59</v>
      </c>
      <c r="G83" t="s">
        <v>53</v>
      </c>
      <c r="H83">
        <v>978.46</v>
      </c>
      <c r="I83">
        <v>715.59</v>
      </c>
      <c r="J83" t="s">
        <v>66</v>
      </c>
      <c r="K83" t="s">
        <v>26</v>
      </c>
      <c r="L83" t="s">
        <v>38</v>
      </c>
      <c r="M83" t="s">
        <v>20</v>
      </c>
    </row>
    <row r="84" spans="1:13" x14ac:dyDescent="0.25">
      <c r="A84" t="s">
        <v>145</v>
      </c>
      <c r="B84" t="s">
        <v>50</v>
      </c>
      <c r="C84" s="1">
        <v>45839</v>
      </c>
      <c r="D84" s="1">
        <v>45869</v>
      </c>
      <c r="E84" s="1">
        <v>45851</v>
      </c>
      <c r="F84" t="s">
        <v>23</v>
      </c>
      <c r="G84" t="s">
        <v>53</v>
      </c>
      <c r="H84">
        <v>7618.04</v>
      </c>
      <c r="I84">
        <v>7618.04</v>
      </c>
      <c r="J84" t="s">
        <v>25</v>
      </c>
      <c r="K84" t="s">
        <v>18</v>
      </c>
      <c r="L84" t="s">
        <v>19</v>
      </c>
      <c r="M84" t="s">
        <v>39</v>
      </c>
    </row>
    <row r="85" spans="1:13" x14ac:dyDescent="0.25">
      <c r="A85" t="s">
        <v>146</v>
      </c>
      <c r="B85" t="s">
        <v>68</v>
      </c>
      <c r="C85" s="1">
        <v>45840</v>
      </c>
      <c r="D85" s="1">
        <v>45870</v>
      </c>
      <c r="E85" s="1">
        <v>45851</v>
      </c>
      <c r="F85" t="s">
        <v>59</v>
      </c>
      <c r="G85" t="s">
        <v>69</v>
      </c>
      <c r="H85">
        <v>2241.23</v>
      </c>
      <c r="I85">
        <v>2241.23</v>
      </c>
      <c r="J85" t="s">
        <v>25</v>
      </c>
      <c r="K85" t="s">
        <v>18</v>
      </c>
      <c r="L85" t="s">
        <v>19</v>
      </c>
      <c r="M85" t="s">
        <v>46</v>
      </c>
    </row>
    <row r="86" spans="1:13" x14ac:dyDescent="0.25">
      <c r="A86" t="s">
        <v>147</v>
      </c>
      <c r="B86" t="s">
        <v>22</v>
      </c>
      <c r="C86" s="1">
        <v>45841</v>
      </c>
      <c r="D86" s="1">
        <v>45871</v>
      </c>
      <c r="E86" s="1">
        <v>45870</v>
      </c>
      <c r="F86" t="s">
        <v>23</v>
      </c>
      <c r="G86" t="s">
        <v>24</v>
      </c>
      <c r="H86">
        <v>1896.06</v>
      </c>
      <c r="I86">
        <v>1896.06</v>
      </c>
      <c r="J86" t="s">
        <v>25</v>
      </c>
      <c r="K86" t="s">
        <v>18</v>
      </c>
      <c r="L86" t="s">
        <v>19</v>
      </c>
      <c r="M86" t="s">
        <v>39</v>
      </c>
    </row>
    <row r="87" spans="1:13" x14ac:dyDescent="0.25">
      <c r="A87" t="s">
        <v>148</v>
      </c>
      <c r="B87" t="s">
        <v>52</v>
      </c>
      <c r="C87" s="1">
        <v>45844</v>
      </c>
      <c r="D87" s="1">
        <v>45874</v>
      </c>
      <c r="E87" s="1">
        <v>45867</v>
      </c>
      <c r="F87" t="s">
        <v>59</v>
      </c>
      <c r="G87" t="s">
        <v>53</v>
      </c>
      <c r="H87">
        <v>4030.02</v>
      </c>
      <c r="I87">
        <v>4030.02</v>
      </c>
      <c r="J87" t="s">
        <v>25</v>
      </c>
      <c r="K87" t="s">
        <v>18</v>
      </c>
      <c r="L87" t="s">
        <v>19</v>
      </c>
      <c r="M87" t="s">
        <v>39</v>
      </c>
    </row>
    <row r="88" spans="1:13" x14ac:dyDescent="0.25">
      <c r="A88" t="s">
        <v>149</v>
      </c>
      <c r="B88" t="s">
        <v>14</v>
      </c>
      <c r="C88" s="1">
        <v>45845</v>
      </c>
      <c r="D88" s="1">
        <v>45875</v>
      </c>
      <c r="E88" s="1">
        <v>45894</v>
      </c>
      <c r="F88" t="s">
        <v>15</v>
      </c>
      <c r="G88" t="s">
        <v>69</v>
      </c>
      <c r="H88">
        <v>2634.24</v>
      </c>
      <c r="I88">
        <v>1873.36</v>
      </c>
      <c r="J88" t="s">
        <v>66</v>
      </c>
      <c r="K88" t="s">
        <v>26</v>
      </c>
      <c r="L88" t="s">
        <v>55</v>
      </c>
      <c r="M88" t="s">
        <v>28</v>
      </c>
    </row>
    <row r="89" spans="1:13" x14ac:dyDescent="0.25">
      <c r="A89" t="s">
        <v>150</v>
      </c>
      <c r="B89" t="s">
        <v>81</v>
      </c>
      <c r="C89" s="1">
        <v>45849</v>
      </c>
      <c r="D89" s="1">
        <v>45879</v>
      </c>
      <c r="E89" s="1">
        <v>45862</v>
      </c>
      <c r="F89" t="s">
        <v>30</v>
      </c>
      <c r="G89" t="s">
        <v>16</v>
      </c>
      <c r="H89">
        <v>1842.6</v>
      </c>
      <c r="I89">
        <v>1842.6</v>
      </c>
      <c r="J89" t="s">
        <v>25</v>
      </c>
      <c r="K89" t="s">
        <v>26</v>
      </c>
      <c r="L89" t="s">
        <v>113</v>
      </c>
      <c r="M89" t="s">
        <v>39</v>
      </c>
    </row>
    <row r="90" spans="1:13" x14ac:dyDescent="0.25">
      <c r="A90" t="s">
        <v>151</v>
      </c>
      <c r="B90" t="s">
        <v>44</v>
      </c>
      <c r="C90" s="1">
        <v>45851</v>
      </c>
      <c r="D90" s="1">
        <v>45881</v>
      </c>
      <c r="E90" s="1">
        <v>45891</v>
      </c>
      <c r="F90" t="s">
        <v>15</v>
      </c>
      <c r="G90" t="s">
        <v>31</v>
      </c>
      <c r="H90">
        <v>2097.6</v>
      </c>
      <c r="I90">
        <v>2097.6</v>
      </c>
      <c r="J90" t="s">
        <v>25</v>
      </c>
      <c r="K90" t="s">
        <v>18</v>
      </c>
      <c r="L90" t="s">
        <v>19</v>
      </c>
      <c r="M90" t="s">
        <v>39</v>
      </c>
    </row>
    <row r="91" spans="1:13" x14ac:dyDescent="0.25">
      <c r="A91" t="s">
        <v>152</v>
      </c>
      <c r="B91" t="s">
        <v>126</v>
      </c>
      <c r="C91" s="1">
        <v>45852</v>
      </c>
      <c r="D91" s="1">
        <v>45882</v>
      </c>
      <c r="E91" s="1">
        <v>45888</v>
      </c>
      <c r="F91" t="s">
        <v>45</v>
      </c>
      <c r="G91" t="s">
        <v>16</v>
      </c>
      <c r="H91">
        <v>1832.5</v>
      </c>
      <c r="I91">
        <v>1185.8499999999999</v>
      </c>
      <c r="J91" t="s">
        <v>66</v>
      </c>
      <c r="K91" t="s">
        <v>18</v>
      </c>
      <c r="L91" t="s">
        <v>19</v>
      </c>
      <c r="M91" t="s">
        <v>20</v>
      </c>
    </row>
    <row r="92" spans="1:13" x14ac:dyDescent="0.25">
      <c r="A92" t="s">
        <v>153</v>
      </c>
      <c r="B92" t="s">
        <v>64</v>
      </c>
      <c r="C92" s="1">
        <v>45852</v>
      </c>
      <c r="D92" s="1">
        <v>45882</v>
      </c>
      <c r="E92" s="1">
        <v>45883</v>
      </c>
      <c r="F92" t="s">
        <v>30</v>
      </c>
      <c r="G92" t="s">
        <v>31</v>
      </c>
      <c r="H92">
        <v>680.97</v>
      </c>
      <c r="I92">
        <v>680.97</v>
      </c>
      <c r="J92" t="s">
        <v>25</v>
      </c>
      <c r="K92" t="s">
        <v>18</v>
      </c>
      <c r="L92" t="s">
        <v>19</v>
      </c>
      <c r="M92" t="s">
        <v>42</v>
      </c>
    </row>
    <row r="93" spans="1:13" x14ac:dyDescent="0.25">
      <c r="A93" t="s">
        <v>154</v>
      </c>
      <c r="B93" t="s">
        <v>22</v>
      </c>
      <c r="C93" s="1">
        <v>45853</v>
      </c>
      <c r="D93" s="1">
        <v>45883</v>
      </c>
      <c r="E93" s="1">
        <v>45873</v>
      </c>
      <c r="F93" t="s">
        <v>59</v>
      </c>
      <c r="G93" t="s">
        <v>24</v>
      </c>
      <c r="H93">
        <v>2727.47</v>
      </c>
      <c r="I93">
        <v>2727.47</v>
      </c>
      <c r="J93" t="s">
        <v>25</v>
      </c>
      <c r="K93" t="s">
        <v>18</v>
      </c>
      <c r="L93" t="s">
        <v>19</v>
      </c>
      <c r="M93" t="s">
        <v>46</v>
      </c>
    </row>
    <row r="94" spans="1:13" x14ac:dyDescent="0.25">
      <c r="A94" t="s">
        <v>155</v>
      </c>
      <c r="B94" t="s">
        <v>126</v>
      </c>
      <c r="C94" s="1">
        <v>45856</v>
      </c>
      <c r="D94" s="1">
        <v>45886</v>
      </c>
      <c r="E94" s="1">
        <v>45911</v>
      </c>
      <c r="F94" t="s">
        <v>15</v>
      </c>
      <c r="G94" t="s">
        <v>37</v>
      </c>
      <c r="H94">
        <v>4614.5200000000004</v>
      </c>
      <c r="I94">
        <v>4614.5200000000004</v>
      </c>
      <c r="J94" t="s">
        <v>25</v>
      </c>
      <c r="K94" t="s">
        <v>18</v>
      </c>
      <c r="L94" t="s">
        <v>19</v>
      </c>
      <c r="M94" t="s">
        <v>20</v>
      </c>
    </row>
    <row r="95" spans="1:13" x14ac:dyDescent="0.25">
      <c r="A95" t="s">
        <v>156</v>
      </c>
      <c r="B95" t="s">
        <v>126</v>
      </c>
      <c r="C95" s="1">
        <v>45857</v>
      </c>
      <c r="D95" s="1">
        <v>45887</v>
      </c>
      <c r="F95" t="s">
        <v>23</v>
      </c>
      <c r="G95" t="s">
        <v>37</v>
      </c>
      <c r="H95">
        <v>7270.83</v>
      </c>
      <c r="I95">
        <v>0</v>
      </c>
      <c r="J95" t="s">
        <v>17</v>
      </c>
      <c r="K95" t="s">
        <v>18</v>
      </c>
      <c r="L95" t="s">
        <v>19</v>
      </c>
      <c r="M95" t="s">
        <v>28</v>
      </c>
    </row>
    <row r="96" spans="1:13" x14ac:dyDescent="0.25">
      <c r="A96" t="s">
        <v>157</v>
      </c>
      <c r="B96" t="s">
        <v>50</v>
      </c>
      <c r="C96" s="1">
        <v>45857</v>
      </c>
      <c r="D96" s="1">
        <v>45887</v>
      </c>
      <c r="F96" t="s">
        <v>23</v>
      </c>
      <c r="G96" t="s">
        <v>37</v>
      </c>
      <c r="H96">
        <v>8061.77</v>
      </c>
      <c r="I96">
        <v>0</v>
      </c>
      <c r="J96" t="s">
        <v>17</v>
      </c>
      <c r="K96" t="s">
        <v>26</v>
      </c>
      <c r="L96" t="s">
        <v>55</v>
      </c>
      <c r="M96" t="s">
        <v>39</v>
      </c>
    </row>
    <row r="97" spans="1:13" x14ac:dyDescent="0.25">
      <c r="A97" t="s">
        <v>158</v>
      </c>
      <c r="B97" t="s">
        <v>71</v>
      </c>
      <c r="C97" s="1">
        <v>45859</v>
      </c>
      <c r="D97" s="1">
        <v>45889</v>
      </c>
      <c r="E97" s="1">
        <v>45898</v>
      </c>
      <c r="F97" t="s">
        <v>45</v>
      </c>
      <c r="G97" t="s">
        <v>53</v>
      </c>
      <c r="H97">
        <v>4902.92</v>
      </c>
      <c r="I97">
        <v>3729.02</v>
      </c>
      <c r="J97" t="s">
        <v>66</v>
      </c>
      <c r="K97" t="s">
        <v>26</v>
      </c>
      <c r="L97" t="s">
        <v>38</v>
      </c>
      <c r="M97" t="s">
        <v>20</v>
      </c>
    </row>
    <row r="98" spans="1:13" x14ac:dyDescent="0.25">
      <c r="A98" t="s">
        <v>159</v>
      </c>
      <c r="B98" t="s">
        <v>96</v>
      </c>
      <c r="C98" s="1">
        <v>45861</v>
      </c>
      <c r="D98" s="1">
        <v>45891</v>
      </c>
      <c r="E98" s="1">
        <v>45886</v>
      </c>
      <c r="F98" t="s">
        <v>23</v>
      </c>
      <c r="G98" t="s">
        <v>53</v>
      </c>
      <c r="H98">
        <v>2437.88</v>
      </c>
      <c r="I98">
        <v>2437.88</v>
      </c>
      <c r="J98" t="s">
        <v>25</v>
      </c>
      <c r="K98" t="s">
        <v>26</v>
      </c>
      <c r="L98" t="s">
        <v>113</v>
      </c>
      <c r="M98" t="s">
        <v>42</v>
      </c>
    </row>
    <row r="99" spans="1:13" x14ac:dyDescent="0.25">
      <c r="A99" t="s">
        <v>160</v>
      </c>
      <c r="B99" t="s">
        <v>36</v>
      </c>
      <c r="C99" s="1">
        <v>45861</v>
      </c>
      <c r="D99" s="1">
        <v>45891</v>
      </c>
      <c r="E99" s="1">
        <v>45896</v>
      </c>
      <c r="F99" t="s">
        <v>45</v>
      </c>
      <c r="G99" t="s">
        <v>37</v>
      </c>
      <c r="H99">
        <v>6445.66</v>
      </c>
      <c r="I99">
        <v>6445.66</v>
      </c>
      <c r="J99" t="s">
        <v>25</v>
      </c>
      <c r="K99" t="s">
        <v>26</v>
      </c>
      <c r="L99" t="s">
        <v>38</v>
      </c>
      <c r="M99" t="s">
        <v>28</v>
      </c>
    </row>
    <row r="100" spans="1:13" x14ac:dyDescent="0.25">
      <c r="A100" t="s">
        <v>161</v>
      </c>
      <c r="B100" t="s">
        <v>71</v>
      </c>
      <c r="C100" s="1">
        <v>45863</v>
      </c>
      <c r="D100" s="1">
        <v>45893</v>
      </c>
      <c r="E100" s="1">
        <v>45885</v>
      </c>
      <c r="F100" t="s">
        <v>59</v>
      </c>
      <c r="G100" t="s">
        <v>16</v>
      </c>
      <c r="H100">
        <v>1003.36</v>
      </c>
      <c r="I100">
        <v>1003.36</v>
      </c>
      <c r="J100" t="s">
        <v>25</v>
      </c>
      <c r="K100" t="s">
        <v>18</v>
      </c>
      <c r="L100" t="s">
        <v>19</v>
      </c>
      <c r="M100" t="s">
        <v>42</v>
      </c>
    </row>
    <row r="101" spans="1:13" x14ac:dyDescent="0.25">
      <c r="A101" t="s">
        <v>162</v>
      </c>
      <c r="B101" t="s">
        <v>48</v>
      </c>
      <c r="C101" s="1">
        <v>45863</v>
      </c>
      <c r="D101" s="1">
        <v>45893</v>
      </c>
      <c r="E101" s="1">
        <v>45917</v>
      </c>
      <c r="F101" t="s">
        <v>59</v>
      </c>
      <c r="G101" t="s">
        <v>37</v>
      </c>
      <c r="H101">
        <v>2908.24</v>
      </c>
      <c r="I101">
        <v>2908.24</v>
      </c>
      <c r="J101" t="s">
        <v>25</v>
      </c>
      <c r="K101" t="s">
        <v>18</v>
      </c>
      <c r="L101" t="s">
        <v>19</v>
      </c>
      <c r="M101" t="s">
        <v>42</v>
      </c>
    </row>
    <row r="102" spans="1:13" x14ac:dyDescent="0.25">
      <c r="A102" t="s">
        <v>163</v>
      </c>
      <c r="B102" t="s">
        <v>44</v>
      </c>
      <c r="C102" s="1">
        <v>45864</v>
      </c>
      <c r="D102" s="1">
        <v>45894</v>
      </c>
      <c r="E102" s="1">
        <v>45911</v>
      </c>
      <c r="F102" t="s">
        <v>23</v>
      </c>
      <c r="G102" t="s">
        <v>31</v>
      </c>
      <c r="H102">
        <v>2301.42</v>
      </c>
      <c r="I102">
        <v>2301.42</v>
      </c>
      <c r="J102" t="s">
        <v>25</v>
      </c>
      <c r="K102" t="s">
        <v>18</v>
      </c>
      <c r="L102" t="s">
        <v>19</v>
      </c>
      <c r="M102" t="s">
        <v>39</v>
      </c>
    </row>
    <row r="103" spans="1:13" x14ac:dyDescent="0.25">
      <c r="A103" t="s">
        <v>164</v>
      </c>
      <c r="B103" t="s">
        <v>118</v>
      </c>
      <c r="C103" s="1">
        <v>45864</v>
      </c>
      <c r="D103" s="1">
        <v>45894</v>
      </c>
      <c r="F103" t="s">
        <v>23</v>
      </c>
      <c r="G103" t="s">
        <v>37</v>
      </c>
      <c r="H103">
        <v>5436.89</v>
      </c>
      <c r="I103">
        <v>0</v>
      </c>
      <c r="J103" t="s">
        <v>17</v>
      </c>
      <c r="K103" t="s">
        <v>26</v>
      </c>
      <c r="L103" t="s">
        <v>27</v>
      </c>
      <c r="M103" t="s">
        <v>28</v>
      </c>
    </row>
    <row r="104" spans="1:13" x14ac:dyDescent="0.25">
      <c r="A104" t="s">
        <v>165</v>
      </c>
      <c r="B104" t="s">
        <v>64</v>
      </c>
      <c r="C104" s="1">
        <v>45865</v>
      </c>
      <c r="D104" s="1">
        <v>45895</v>
      </c>
      <c r="F104" t="s">
        <v>23</v>
      </c>
      <c r="G104" t="s">
        <v>16</v>
      </c>
      <c r="H104">
        <v>473.86</v>
      </c>
      <c r="I104">
        <v>0</v>
      </c>
      <c r="J104" t="s">
        <v>17</v>
      </c>
      <c r="K104" t="s">
        <v>26</v>
      </c>
      <c r="L104" t="s">
        <v>55</v>
      </c>
      <c r="M104" t="s">
        <v>28</v>
      </c>
    </row>
    <row r="105" spans="1:13" x14ac:dyDescent="0.25">
      <c r="A105" t="s">
        <v>166</v>
      </c>
      <c r="B105" t="s">
        <v>78</v>
      </c>
      <c r="C105" s="1">
        <v>45868</v>
      </c>
      <c r="D105" s="1">
        <v>45898</v>
      </c>
      <c r="F105" t="s">
        <v>15</v>
      </c>
      <c r="G105" t="s">
        <v>24</v>
      </c>
      <c r="H105">
        <v>1630.12</v>
      </c>
      <c r="I105">
        <v>0</v>
      </c>
      <c r="J105" t="s">
        <v>17</v>
      </c>
      <c r="K105" t="s">
        <v>18</v>
      </c>
      <c r="L105" t="s">
        <v>19</v>
      </c>
      <c r="M105" t="s">
        <v>32</v>
      </c>
    </row>
    <row r="106" spans="1:13" x14ac:dyDescent="0.25">
      <c r="A106" t="s">
        <v>167</v>
      </c>
      <c r="B106" t="s">
        <v>126</v>
      </c>
      <c r="C106" s="1">
        <v>45869</v>
      </c>
      <c r="D106" s="1">
        <v>45899</v>
      </c>
      <c r="E106" s="1">
        <v>45890</v>
      </c>
      <c r="F106" t="s">
        <v>45</v>
      </c>
      <c r="G106" t="s">
        <v>69</v>
      </c>
      <c r="H106">
        <v>585.73</v>
      </c>
      <c r="I106">
        <v>585.73</v>
      </c>
      <c r="J106" t="s">
        <v>25</v>
      </c>
      <c r="K106" t="s">
        <v>18</v>
      </c>
      <c r="L106" t="s">
        <v>19</v>
      </c>
      <c r="M106" t="s">
        <v>28</v>
      </c>
    </row>
    <row r="107" spans="1:13" x14ac:dyDescent="0.25">
      <c r="A107" t="s">
        <v>168</v>
      </c>
      <c r="B107" t="s">
        <v>68</v>
      </c>
      <c r="C107" s="1">
        <v>45869</v>
      </c>
      <c r="D107" s="1">
        <v>45899</v>
      </c>
      <c r="E107" s="1">
        <v>45892</v>
      </c>
      <c r="F107" t="s">
        <v>45</v>
      </c>
      <c r="G107" t="s">
        <v>24</v>
      </c>
      <c r="H107">
        <v>3585.56</v>
      </c>
      <c r="I107">
        <v>3585.56</v>
      </c>
      <c r="J107" t="s">
        <v>25</v>
      </c>
      <c r="K107" t="s">
        <v>18</v>
      </c>
      <c r="L107" t="s">
        <v>19</v>
      </c>
      <c r="M107" t="s">
        <v>28</v>
      </c>
    </row>
    <row r="108" spans="1:13" x14ac:dyDescent="0.25">
      <c r="A108" t="s">
        <v>169</v>
      </c>
      <c r="B108" t="s">
        <v>41</v>
      </c>
      <c r="C108" s="1">
        <v>45870</v>
      </c>
      <c r="D108" s="1">
        <v>45900</v>
      </c>
      <c r="E108" s="1">
        <v>45897</v>
      </c>
      <c r="F108" t="s">
        <v>45</v>
      </c>
      <c r="G108" t="s">
        <v>69</v>
      </c>
      <c r="H108">
        <v>1426.84</v>
      </c>
      <c r="I108">
        <v>1426.84</v>
      </c>
      <c r="J108" t="s">
        <v>25</v>
      </c>
      <c r="K108" t="s">
        <v>18</v>
      </c>
      <c r="L108" t="s">
        <v>19</v>
      </c>
      <c r="M108" t="s">
        <v>42</v>
      </c>
    </row>
    <row r="109" spans="1:13" x14ac:dyDescent="0.25">
      <c r="A109" t="s">
        <v>170</v>
      </c>
      <c r="B109" t="s">
        <v>14</v>
      </c>
      <c r="C109" s="1">
        <v>45871</v>
      </c>
      <c r="D109" s="1">
        <v>45901</v>
      </c>
      <c r="E109" s="1">
        <v>45922</v>
      </c>
      <c r="F109" t="s">
        <v>45</v>
      </c>
      <c r="G109" t="s">
        <v>24</v>
      </c>
      <c r="H109">
        <v>1022.37</v>
      </c>
      <c r="I109">
        <v>1022.37</v>
      </c>
      <c r="J109" t="s">
        <v>25</v>
      </c>
      <c r="K109" t="s">
        <v>18</v>
      </c>
      <c r="L109" t="s">
        <v>19</v>
      </c>
      <c r="M109" t="s">
        <v>46</v>
      </c>
    </row>
    <row r="110" spans="1:13" x14ac:dyDescent="0.25">
      <c r="A110" t="s">
        <v>171</v>
      </c>
      <c r="B110" t="s">
        <v>99</v>
      </c>
      <c r="C110" s="1">
        <v>45871</v>
      </c>
      <c r="D110" s="1">
        <v>45901</v>
      </c>
      <c r="E110" s="1">
        <v>45906</v>
      </c>
      <c r="F110" t="s">
        <v>59</v>
      </c>
      <c r="G110" t="s">
        <v>53</v>
      </c>
      <c r="H110">
        <v>2884.02</v>
      </c>
      <c r="I110">
        <v>2884.02</v>
      </c>
      <c r="J110" t="s">
        <v>25</v>
      </c>
      <c r="K110" t="s">
        <v>18</v>
      </c>
      <c r="L110" t="s">
        <v>19</v>
      </c>
      <c r="M110" t="s">
        <v>42</v>
      </c>
    </row>
    <row r="111" spans="1:13" x14ac:dyDescent="0.25">
      <c r="A111" t="s">
        <v>172</v>
      </c>
      <c r="B111" t="s">
        <v>14</v>
      </c>
      <c r="C111" s="1">
        <v>45875</v>
      </c>
      <c r="D111" s="1">
        <v>45905</v>
      </c>
      <c r="E111" s="1">
        <v>45925</v>
      </c>
      <c r="F111" t="s">
        <v>45</v>
      </c>
      <c r="G111" t="s">
        <v>16</v>
      </c>
      <c r="H111">
        <v>1833.86</v>
      </c>
      <c r="I111">
        <v>1833.86</v>
      </c>
      <c r="J111" t="s">
        <v>25</v>
      </c>
      <c r="K111" t="s">
        <v>18</v>
      </c>
      <c r="L111" t="s">
        <v>19</v>
      </c>
      <c r="M111" t="s">
        <v>20</v>
      </c>
    </row>
    <row r="112" spans="1:13" x14ac:dyDescent="0.25">
      <c r="A112" t="s">
        <v>173</v>
      </c>
      <c r="B112" t="s">
        <v>14</v>
      </c>
      <c r="C112" s="1">
        <v>45878</v>
      </c>
      <c r="D112" s="1">
        <v>45908</v>
      </c>
      <c r="E112" s="1">
        <v>45928</v>
      </c>
      <c r="F112" t="s">
        <v>30</v>
      </c>
      <c r="G112" t="s">
        <v>53</v>
      </c>
      <c r="H112">
        <v>5956.58</v>
      </c>
      <c r="I112">
        <v>5956.58</v>
      </c>
      <c r="J112" t="s">
        <v>25</v>
      </c>
      <c r="K112" t="s">
        <v>18</v>
      </c>
      <c r="L112" t="s">
        <v>19</v>
      </c>
      <c r="M112" t="s">
        <v>28</v>
      </c>
    </row>
    <row r="113" spans="1:13" x14ac:dyDescent="0.25">
      <c r="A113" t="s">
        <v>174</v>
      </c>
      <c r="B113" t="s">
        <v>126</v>
      </c>
      <c r="C113" s="1">
        <v>45879</v>
      </c>
      <c r="D113" s="1">
        <v>45909</v>
      </c>
      <c r="E113" s="1">
        <v>45905</v>
      </c>
      <c r="F113" t="s">
        <v>45</v>
      </c>
      <c r="G113" t="s">
        <v>37</v>
      </c>
      <c r="H113">
        <v>6016.18</v>
      </c>
      <c r="I113">
        <v>6016.18</v>
      </c>
      <c r="J113" t="s">
        <v>25</v>
      </c>
      <c r="K113" t="s">
        <v>18</v>
      </c>
      <c r="L113" t="s">
        <v>19</v>
      </c>
      <c r="M113" t="s">
        <v>46</v>
      </c>
    </row>
    <row r="114" spans="1:13" x14ac:dyDescent="0.25">
      <c r="A114" t="s">
        <v>175</v>
      </c>
      <c r="B114" t="s">
        <v>96</v>
      </c>
      <c r="C114" s="1">
        <v>45882</v>
      </c>
      <c r="D114" s="1">
        <v>45912</v>
      </c>
      <c r="E114" s="1">
        <v>45907</v>
      </c>
      <c r="F114" t="s">
        <v>30</v>
      </c>
      <c r="G114" t="s">
        <v>53</v>
      </c>
      <c r="H114">
        <v>1291.6600000000001</v>
      </c>
      <c r="I114">
        <v>1291.6600000000001</v>
      </c>
      <c r="J114" t="s">
        <v>25</v>
      </c>
      <c r="K114" t="s">
        <v>18</v>
      </c>
      <c r="L114" t="s">
        <v>19</v>
      </c>
      <c r="M114" t="s">
        <v>20</v>
      </c>
    </row>
    <row r="115" spans="1:13" x14ac:dyDescent="0.25">
      <c r="A115" t="s">
        <v>176</v>
      </c>
      <c r="B115" t="s">
        <v>111</v>
      </c>
      <c r="C115" s="1">
        <v>45891</v>
      </c>
      <c r="D115" s="1">
        <v>45921</v>
      </c>
      <c r="E115" s="1">
        <v>45905</v>
      </c>
      <c r="F115" t="s">
        <v>30</v>
      </c>
      <c r="G115" t="s">
        <v>53</v>
      </c>
      <c r="H115">
        <v>7691.93</v>
      </c>
      <c r="I115">
        <v>7691.93</v>
      </c>
      <c r="J115" t="s">
        <v>25</v>
      </c>
      <c r="K115" t="s">
        <v>18</v>
      </c>
      <c r="L115" t="s">
        <v>19</v>
      </c>
      <c r="M115" t="s">
        <v>32</v>
      </c>
    </row>
    <row r="116" spans="1:13" x14ac:dyDescent="0.25">
      <c r="A116" t="s">
        <v>177</v>
      </c>
      <c r="B116" t="s">
        <v>81</v>
      </c>
      <c r="C116" s="1">
        <v>45893</v>
      </c>
      <c r="D116" s="1">
        <v>45923</v>
      </c>
      <c r="E116" s="1">
        <v>45925</v>
      </c>
      <c r="F116" t="s">
        <v>15</v>
      </c>
      <c r="G116" t="s">
        <v>16</v>
      </c>
      <c r="H116">
        <v>1905.41</v>
      </c>
      <c r="I116">
        <v>1905.41</v>
      </c>
      <c r="J116" t="s">
        <v>25</v>
      </c>
      <c r="K116" t="s">
        <v>18</v>
      </c>
      <c r="L116" t="s">
        <v>19</v>
      </c>
      <c r="M116" t="s">
        <v>46</v>
      </c>
    </row>
    <row r="117" spans="1:13" x14ac:dyDescent="0.25">
      <c r="A117" t="s">
        <v>178</v>
      </c>
      <c r="B117" t="s">
        <v>14</v>
      </c>
      <c r="C117" s="1">
        <v>45893</v>
      </c>
      <c r="D117" s="1">
        <v>45923</v>
      </c>
      <c r="E117" s="1">
        <v>45920</v>
      </c>
      <c r="F117" t="s">
        <v>59</v>
      </c>
      <c r="G117" t="s">
        <v>37</v>
      </c>
      <c r="H117">
        <v>5784.73</v>
      </c>
      <c r="I117">
        <v>4607.12</v>
      </c>
      <c r="J117" t="s">
        <v>66</v>
      </c>
      <c r="K117" t="s">
        <v>26</v>
      </c>
      <c r="L117" t="s">
        <v>93</v>
      </c>
      <c r="M117" t="s">
        <v>28</v>
      </c>
    </row>
    <row r="118" spans="1:13" x14ac:dyDescent="0.25">
      <c r="A118" t="s">
        <v>179</v>
      </c>
      <c r="B118" t="s">
        <v>76</v>
      </c>
      <c r="C118" s="1">
        <v>45894</v>
      </c>
      <c r="D118" s="1">
        <v>45924</v>
      </c>
      <c r="F118" t="s">
        <v>59</v>
      </c>
      <c r="G118" t="s">
        <v>16</v>
      </c>
      <c r="H118">
        <v>2362.3000000000002</v>
      </c>
      <c r="I118">
        <v>1462.15</v>
      </c>
      <c r="J118" t="s">
        <v>66</v>
      </c>
      <c r="K118" t="s">
        <v>26</v>
      </c>
      <c r="L118" t="s">
        <v>38</v>
      </c>
      <c r="M118" t="s">
        <v>32</v>
      </c>
    </row>
    <row r="119" spans="1:13" x14ac:dyDescent="0.25">
      <c r="A119" t="s">
        <v>180</v>
      </c>
      <c r="B119" t="s">
        <v>76</v>
      </c>
      <c r="C119" s="1">
        <v>45896</v>
      </c>
      <c r="D119" s="1">
        <v>45926</v>
      </c>
      <c r="E119" s="1">
        <v>45908</v>
      </c>
      <c r="F119" t="s">
        <v>30</v>
      </c>
      <c r="G119" t="s">
        <v>53</v>
      </c>
      <c r="H119">
        <v>970.38</v>
      </c>
      <c r="I119">
        <v>970.38</v>
      </c>
      <c r="J119" t="s">
        <v>25</v>
      </c>
      <c r="K119" t="s">
        <v>18</v>
      </c>
      <c r="L119" t="s">
        <v>19</v>
      </c>
      <c r="M119" t="s">
        <v>32</v>
      </c>
    </row>
    <row r="120" spans="1:13" x14ac:dyDescent="0.25">
      <c r="A120" t="s">
        <v>181</v>
      </c>
      <c r="B120" t="s">
        <v>118</v>
      </c>
      <c r="C120" s="1">
        <v>45896</v>
      </c>
      <c r="D120" s="1">
        <v>45926</v>
      </c>
      <c r="E120" s="1">
        <v>45911</v>
      </c>
      <c r="F120" t="s">
        <v>15</v>
      </c>
      <c r="G120" t="s">
        <v>31</v>
      </c>
      <c r="H120">
        <v>4424.6000000000004</v>
      </c>
      <c r="I120">
        <v>4424.6000000000004</v>
      </c>
      <c r="J120" t="s">
        <v>25</v>
      </c>
      <c r="K120" t="s">
        <v>18</v>
      </c>
      <c r="L120" t="s">
        <v>19</v>
      </c>
      <c r="M120" t="s">
        <v>28</v>
      </c>
    </row>
    <row r="121" spans="1:13" x14ac:dyDescent="0.25">
      <c r="A121" t="s">
        <v>182</v>
      </c>
      <c r="B121" t="s">
        <v>78</v>
      </c>
      <c r="C121" s="1">
        <v>45896</v>
      </c>
      <c r="D121" s="1">
        <v>45926</v>
      </c>
      <c r="E121" s="1">
        <v>45944</v>
      </c>
      <c r="F121" t="s">
        <v>23</v>
      </c>
      <c r="G121" t="s">
        <v>53</v>
      </c>
      <c r="H121">
        <v>4877.51</v>
      </c>
      <c r="I121">
        <v>4877.51</v>
      </c>
      <c r="J121" t="s">
        <v>25</v>
      </c>
      <c r="K121" t="s">
        <v>18</v>
      </c>
      <c r="L121" t="s">
        <v>19</v>
      </c>
      <c r="M121" t="s">
        <v>32</v>
      </c>
    </row>
    <row r="122" spans="1:13" x14ac:dyDescent="0.25">
      <c r="A122" t="s">
        <v>183</v>
      </c>
      <c r="B122" t="s">
        <v>78</v>
      </c>
      <c r="C122" s="1">
        <v>45897</v>
      </c>
      <c r="D122" s="1">
        <v>45927</v>
      </c>
      <c r="E122" s="1">
        <v>45912</v>
      </c>
      <c r="F122" t="s">
        <v>45</v>
      </c>
      <c r="G122" t="s">
        <v>16</v>
      </c>
      <c r="H122">
        <v>853.09</v>
      </c>
      <c r="I122">
        <v>853.09</v>
      </c>
      <c r="J122" t="s">
        <v>25</v>
      </c>
      <c r="K122" t="s">
        <v>18</v>
      </c>
      <c r="L122" t="s">
        <v>19</v>
      </c>
      <c r="M122" t="s">
        <v>42</v>
      </c>
    </row>
    <row r="123" spans="1:13" x14ac:dyDescent="0.25">
      <c r="A123" t="s">
        <v>184</v>
      </c>
      <c r="B123" t="s">
        <v>58</v>
      </c>
      <c r="C123" s="1">
        <v>45902</v>
      </c>
      <c r="D123" s="1">
        <v>45932</v>
      </c>
      <c r="E123" s="1">
        <v>45961</v>
      </c>
      <c r="F123" t="s">
        <v>15</v>
      </c>
      <c r="G123" t="s">
        <v>53</v>
      </c>
      <c r="H123">
        <v>7892.95</v>
      </c>
      <c r="I123">
        <v>2097.71</v>
      </c>
      <c r="J123" t="s">
        <v>66</v>
      </c>
      <c r="K123" t="s">
        <v>26</v>
      </c>
      <c r="L123" t="s">
        <v>38</v>
      </c>
      <c r="M123" t="s">
        <v>46</v>
      </c>
    </row>
    <row r="124" spans="1:13" x14ac:dyDescent="0.25">
      <c r="A124" t="s">
        <v>185</v>
      </c>
      <c r="B124" t="s">
        <v>58</v>
      </c>
      <c r="C124" s="1">
        <v>45903</v>
      </c>
      <c r="D124" s="1">
        <v>45933</v>
      </c>
      <c r="E124" s="1">
        <v>45951</v>
      </c>
      <c r="F124" t="s">
        <v>30</v>
      </c>
      <c r="G124" t="s">
        <v>16</v>
      </c>
      <c r="H124">
        <v>1199.29</v>
      </c>
      <c r="I124">
        <v>1199.29</v>
      </c>
      <c r="J124" t="s">
        <v>25</v>
      </c>
      <c r="K124" t="s">
        <v>18</v>
      </c>
      <c r="L124" t="s">
        <v>19</v>
      </c>
      <c r="M124" t="s">
        <v>20</v>
      </c>
    </row>
    <row r="125" spans="1:13" x14ac:dyDescent="0.25">
      <c r="A125" t="s">
        <v>186</v>
      </c>
      <c r="B125" t="s">
        <v>118</v>
      </c>
      <c r="C125" s="1">
        <v>45905</v>
      </c>
      <c r="D125" s="1">
        <v>45935</v>
      </c>
      <c r="E125" s="1">
        <v>45920</v>
      </c>
      <c r="F125" t="s">
        <v>59</v>
      </c>
      <c r="G125" t="s">
        <v>37</v>
      </c>
      <c r="H125">
        <v>8717.1299999999992</v>
      </c>
      <c r="I125">
        <v>3035.82</v>
      </c>
      <c r="J125" t="s">
        <v>66</v>
      </c>
      <c r="K125" t="s">
        <v>18</v>
      </c>
      <c r="L125" t="s">
        <v>19</v>
      </c>
      <c r="M125" t="s">
        <v>39</v>
      </c>
    </row>
    <row r="126" spans="1:13" x14ac:dyDescent="0.25">
      <c r="A126" t="s">
        <v>187</v>
      </c>
      <c r="B126" t="s">
        <v>76</v>
      </c>
      <c r="C126" s="1">
        <v>45905</v>
      </c>
      <c r="D126" s="1">
        <v>45935</v>
      </c>
      <c r="F126" t="s">
        <v>30</v>
      </c>
      <c r="G126" t="s">
        <v>37</v>
      </c>
      <c r="H126">
        <v>7614.85</v>
      </c>
      <c r="I126">
        <v>0</v>
      </c>
      <c r="J126" t="s">
        <v>17</v>
      </c>
      <c r="K126" t="s">
        <v>26</v>
      </c>
      <c r="L126" t="s">
        <v>93</v>
      </c>
      <c r="M126" t="s">
        <v>20</v>
      </c>
    </row>
    <row r="127" spans="1:13" x14ac:dyDescent="0.25">
      <c r="A127" t="s">
        <v>188</v>
      </c>
      <c r="B127" t="s">
        <v>52</v>
      </c>
      <c r="C127" s="1">
        <v>45905</v>
      </c>
      <c r="D127" s="1">
        <v>45935</v>
      </c>
      <c r="F127" t="s">
        <v>45</v>
      </c>
      <c r="G127" t="s">
        <v>31</v>
      </c>
      <c r="H127">
        <v>2258.9499999999998</v>
      </c>
      <c r="I127">
        <v>0</v>
      </c>
      <c r="J127" t="s">
        <v>17</v>
      </c>
      <c r="K127" t="s">
        <v>26</v>
      </c>
      <c r="L127" t="s">
        <v>93</v>
      </c>
      <c r="M127" t="s">
        <v>28</v>
      </c>
    </row>
    <row r="128" spans="1:13" x14ac:dyDescent="0.25">
      <c r="A128" t="s">
        <v>189</v>
      </c>
      <c r="B128" t="s">
        <v>64</v>
      </c>
      <c r="C128" s="1">
        <v>45906</v>
      </c>
      <c r="D128" s="1">
        <v>45936</v>
      </c>
      <c r="E128" s="1">
        <v>45929</v>
      </c>
      <c r="F128" t="s">
        <v>15</v>
      </c>
      <c r="G128" t="s">
        <v>37</v>
      </c>
      <c r="H128">
        <v>3689.1</v>
      </c>
      <c r="I128">
        <v>3689.1</v>
      </c>
      <c r="J128" t="s">
        <v>25</v>
      </c>
      <c r="K128" t="s">
        <v>18</v>
      </c>
      <c r="L128" t="s">
        <v>19</v>
      </c>
      <c r="M128" t="s">
        <v>46</v>
      </c>
    </row>
    <row r="129" spans="1:13" x14ac:dyDescent="0.25">
      <c r="A129" t="s">
        <v>190</v>
      </c>
      <c r="B129" t="s">
        <v>71</v>
      </c>
      <c r="C129" s="1">
        <v>45908</v>
      </c>
      <c r="D129" s="1">
        <v>45938</v>
      </c>
      <c r="E129" s="1">
        <v>45956</v>
      </c>
      <c r="F129" t="s">
        <v>59</v>
      </c>
      <c r="G129" t="s">
        <v>69</v>
      </c>
      <c r="H129">
        <v>3285.56</v>
      </c>
      <c r="I129">
        <v>2381.4699999999998</v>
      </c>
      <c r="J129" t="s">
        <v>66</v>
      </c>
      <c r="K129" t="s">
        <v>18</v>
      </c>
      <c r="L129" t="s">
        <v>19</v>
      </c>
      <c r="M129" t="s">
        <v>42</v>
      </c>
    </row>
    <row r="130" spans="1:13" x14ac:dyDescent="0.25">
      <c r="A130" t="s">
        <v>191</v>
      </c>
      <c r="B130" t="s">
        <v>111</v>
      </c>
      <c r="C130" s="1">
        <v>45908</v>
      </c>
      <c r="D130" s="1">
        <v>45938</v>
      </c>
      <c r="E130" s="1">
        <v>45964</v>
      </c>
      <c r="F130" t="s">
        <v>45</v>
      </c>
      <c r="G130" t="s">
        <v>31</v>
      </c>
      <c r="H130">
        <v>2002.58</v>
      </c>
      <c r="I130">
        <v>1148.6400000000001</v>
      </c>
      <c r="J130" t="s">
        <v>66</v>
      </c>
      <c r="K130" t="s">
        <v>18</v>
      </c>
      <c r="L130" t="s">
        <v>19</v>
      </c>
      <c r="M130" t="s">
        <v>20</v>
      </c>
    </row>
    <row r="131" spans="1:13" x14ac:dyDescent="0.25">
      <c r="A131" t="s">
        <v>192</v>
      </c>
      <c r="B131" t="s">
        <v>14</v>
      </c>
      <c r="C131" s="1">
        <v>45909</v>
      </c>
      <c r="D131" s="1">
        <v>45939</v>
      </c>
      <c r="E131" s="1">
        <v>45963</v>
      </c>
      <c r="F131" t="s">
        <v>30</v>
      </c>
      <c r="G131" t="s">
        <v>53</v>
      </c>
      <c r="H131">
        <v>7367.29</v>
      </c>
      <c r="I131">
        <v>7367.29</v>
      </c>
      <c r="J131" t="s">
        <v>25</v>
      </c>
      <c r="K131" t="s">
        <v>18</v>
      </c>
      <c r="L131" t="s">
        <v>19</v>
      </c>
      <c r="M131" t="s">
        <v>20</v>
      </c>
    </row>
    <row r="132" spans="1:13" x14ac:dyDescent="0.25">
      <c r="A132" t="s">
        <v>193</v>
      </c>
      <c r="B132" t="s">
        <v>14</v>
      </c>
      <c r="C132" s="1">
        <v>45911</v>
      </c>
      <c r="D132" s="1">
        <v>45941</v>
      </c>
      <c r="F132" t="s">
        <v>45</v>
      </c>
      <c r="G132" t="s">
        <v>31</v>
      </c>
      <c r="H132">
        <v>3940.67</v>
      </c>
      <c r="I132">
        <v>0</v>
      </c>
      <c r="J132" t="s">
        <v>17</v>
      </c>
      <c r="K132" t="s">
        <v>26</v>
      </c>
      <c r="L132" t="s">
        <v>38</v>
      </c>
      <c r="M132" t="s">
        <v>42</v>
      </c>
    </row>
    <row r="133" spans="1:13" x14ac:dyDescent="0.25">
      <c r="A133" t="s">
        <v>194</v>
      </c>
      <c r="B133" t="s">
        <v>58</v>
      </c>
      <c r="C133" s="1">
        <v>45918</v>
      </c>
      <c r="D133" s="1">
        <v>45948</v>
      </c>
      <c r="E133" s="1">
        <v>45957</v>
      </c>
      <c r="F133" t="s">
        <v>15</v>
      </c>
      <c r="G133" t="s">
        <v>24</v>
      </c>
      <c r="H133">
        <v>3846.74</v>
      </c>
      <c r="I133">
        <v>3846.74</v>
      </c>
      <c r="J133" t="s">
        <v>25</v>
      </c>
      <c r="K133" t="s">
        <v>18</v>
      </c>
      <c r="L133" t="s">
        <v>19</v>
      </c>
      <c r="M133" t="s">
        <v>42</v>
      </c>
    </row>
    <row r="134" spans="1:13" x14ac:dyDescent="0.25">
      <c r="A134" t="s">
        <v>195</v>
      </c>
      <c r="B134" t="s">
        <v>71</v>
      </c>
      <c r="C134" s="1">
        <v>45919</v>
      </c>
      <c r="D134" s="1">
        <v>45949</v>
      </c>
      <c r="E134" s="1">
        <v>45975</v>
      </c>
      <c r="F134" t="s">
        <v>30</v>
      </c>
      <c r="G134" t="s">
        <v>24</v>
      </c>
      <c r="H134">
        <v>1874.33</v>
      </c>
      <c r="I134">
        <v>1065.3</v>
      </c>
      <c r="J134" t="s">
        <v>66</v>
      </c>
      <c r="K134" t="s">
        <v>26</v>
      </c>
      <c r="L134" t="s">
        <v>85</v>
      </c>
      <c r="M134" t="s">
        <v>42</v>
      </c>
    </row>
    <row r="135" spans="1:13" x14ac:dyDescent="0.25">
      <c r="A135" t="s">
        <v>196</v>
      </c>
      <c r="B135" t="s">
        <v>71</v>
      </c>
      <c r="C135" s="1">
        <v>45920</v>
      </c>
      <c r="D135" s="1">
        <v>45950</v>
      </c>
      <c r="E135" s="1">
        <v>45955</v>
      </c>
      <c r="F135" t="s">
        <v>23</v>
      </c>
      <c r="G135" t="s">
        <v>31</v>
      </c>
      <c r="H135">
        <v>2339.02</v>
      </c>
      <c r="I135">
        <v>2339.02</v>
      </c>
      <c r="J135" t="s">
        <v>25</v>
      </c>
      <c r="K135" t="s">
        <v>18</v>
      </c>
      <c r="L135" t="s">
        <v>19</v>
      </c>
      <c r="M135" t="s">
        <v>46</v>
      </c>
    </row>
    <row r="136" spans="1:13" x14ac:dyDescent="0.25">
      <c r="A136" t="s">
        <v>197</v>
      </c>
      <c r="B136" t="s">
        <v>71</v>
      </c>
      <c r="C136" s="1">
        <v>45922</v>
      </c>
      <c r="D136" s="1">
        <v>45952</v>
      </c>
      <c r="E136" s="1">
        <v>45966</v>
      </c>
      <c r="F136" t="s">
        <v>45</v>
      </c>
      <c r="G136" t="s">
        <v>69</v>
      </c>
      <c r="H136">
        <v>2351.2800000000002</v>
      </c>
      <c r="I136">
        <v>2351.2800000000002</v>
      </c>
      <c r="J136" t="s">
        <v>25</v>
      </c>
      <c r="K136" t="s">
        <v>18</v>
      </c>
      <c r="L136" t="s">
        <v>19</v>
      </c>
      <c r="M136" t="s">
        <v>39</v>
      </c>
    </row>
    <row r="137" spans="1:13" x14ac:dyDescent="0.25">
      <c r="A137" t="s">
        <v>198</v>
      </c>
      <c r="B137" t="s">
        <v>52</v>
      </c>
      <c r="C137" s="1">
        <v>45923</v>
      </c>
      <c r="D137" s="1">
        <v>45953</v>
      </c>
      <c r="E137" s="1">
        <v>45970</v>
      </c>
      <c r="F137" t="s">
        <v>15</v>
      </c>
      <c r="G137" t="s">
        <v>69</v>
      </c>
      <c r="H137">
        <v>3095.04</v>
      </c>
      <c r="I137">
        <v>3095.04</v>
      </c>
      <c r="J137" t="s">
        <v>25</v>
      </c>
      <c r="K137" t="s">
        <v>26</v>
      </c>
      <c r="L137" t="s">
        <v>27</v>
      </c>
      <c r="M137" t="s">
        <v>28</v>
      </c>
    </row>
    <row r="138" spans="1:13" x14ac:dyDescent="0.25">
      <c r="A138" t="s">
        <v>199</v>
      </c>
      <c r="B138" t="s">
        <v>41</v>
      </c>
      <c r="C138" s="1">
        <v>45924</v>
      </c>
      <c r="D138" s="1">
        <v>45954</v>
      </c>
      <c r="F138" t="s">
        <v>45</v>
      </c>
      <c r="G138" t="s">
        <v>16</v>
      </c>
      <c r="H138">
        <v>1191.07</v>
      </c>
      <c r="I138">
        <v>0</v>
      </c>
      <c r="J138" t="s">
        <v>17</v>
      </c>
      <c r="K138" t="s">
        <v>26</v>
      </c>
      <c r="L138" t="s">
        <v>38</v>
      </c>
      <c r="M138" t="s">
        <v>46</v>
      </c>
    </row>
    <row r="139" spans="1:13" x14ac:dyDescent="0.25">
      <c r="A139" t="s">
        <v>200</v>
      </c>
      <c r="B139" t="s">
        <v>58</v>
      </c>
      <c r="C139" s="1">
        <v>45924</v>
      </c>
      <c r="D139" s="1">
        <v>45954</v>
      </c>
      <c r="E139" s="1">
        <v>45955</v>
      </c>
      <c r="F139" t="s">
        <v>15</v>
      </c>
      <c r="G139" t="s">
        <v>24</v>
      </c>
      <c r="H139">
        <v>4358.54</v>
      </c>
      <c r="I139">
        <v>4358.54</v>
      </c>
      <c r="J139" t="s">
        <v>25</v>
      </c>
      <c r="K139" t="s">
        <v>18</v>
      </c>
      <c r="L139" t="s">
        <v>19</v>
      </c>
      <c r="M139" t="s">
        <v>42</v>
      </c>
    </row>
    <row r="140" spans="1:13" x14ac:dyDescent="0.25">
      <c r="A140" t="s">
        <v>201</v>
      </c>
      <c r="B140" t="s">
        <v>58</v>
      </c>
      <c r="C140" s="1">
        <v>45925</v>
      </c>
      <c r="D140" s="1">
        <v>45955</v>
      </c>
      <c r="F140" t="s">
        <v>45</v>
      </c>
      <c r="G140" t="s">
        <v>31</v>
      </c>
      <c r="H140">
        <v>3958.6</v>
      </c>
      <c r="I140">
        <v>0</v>
      </c>
      <c r="J140" t="s">
        <v>17</v>
      </c>
      <c r="K140" t="s">
        <v>26</v>
      </c>
      <c r="L140" t="s">
        <v>34</v>
      </c>
      <c r="M140" t="s">
        <v>32</v>
      </c>
    </row>
    <row r="141" spans="1:13" x14ac:dyDescent="0.25">
      <c r="A141" t="s">
        <v>202</v>
      </c>
      <c r="B141" t="s">
        <v>22</v>
      </c>
      <c r="C141" s="1">
        <v>45925</v>
      </c>
      <c r="D141" s="1">
        <v>45955</v>
      </c>
      <c r="E141" s="1">
        <v>45968</v>
      </c>
      <c r="F141" t="s">
        <v>45</v>
      </c>
      <c r="G141" t="s">
        <v>37</v>
      </c>
      <c r="H141">
        <v>6586.75</v>
      </c>
      <c r="I141">
        <v>2014.44</v>
      </c>
      <c r="J141" t="s">
        <v>66</v>
      </c>
      <c r="K141" t="s">
        <v>26</v>
      </c>
      <c r="L141" t="s">
        <v>85</v>
      </c>
      <c r="M141" t="s">
        <v>32</v>
      </c>
    </row>
    <row r="142" spans="1:13" x14ac:dyDescent="0.25">
      <c r="A142" t="s">
        <v>203</v>
      </c>
      <c r="B142" t="s">
        <v>78</v>
      </c>
      <c r="C142" s="1">
        <v>45927</v>
      </c>
      <c r="D142" s="1">
        <v>45957</v>
      </c>
      <c r="E142" s="1">
        <v>45980</v>
      </c>
      <c r="F142" t="s">
        <v>45</v>
      </c>
      <c r="G142" t="s">
        <v>16</v>
      </c>
      <c r="H142">
        <v>2379.4299999999998</v>
      </c>
      <c r="I142">
        <v>1244.19</v>
      </c>
      <c r="J142" t="s">
        <v>66</v>
      </c>
      <c r="K142" t="s">
        <v>18</v>
      </c>
      <c r="L142" t="s">
        <v>19</v>
      </c>
      <c r="M142" t="s">
        <v>28</v>
      </c>
    </row>
    <row r="143" spans="1:13" x14ac:dyDescent="0.25">
      <c r="A143" t="s">
        <v>204</v>
      </c>
      <c r="B143" t="s">
        <v>52</v>
      </c>
      <c r="C143" s="1">
        <v>45927</v>
      </c>
      <c r="D143" s="1">
        <v>45957</v>
      </c>
      <c r="E143" s="1">
        <v>45966</v>
      </c>
      <c r="F143" t="s">
        <v>30</v>
      </c>
      <c r="G143" t="s">
        <v>24</v>
      </c>
      <c r="H143">
        <v>5300.89</v>
      </c>
      <c r="I143">
        <v>3234.85</v>
      </c>
      <c r="J143" t="s">
        <v>66</v>
      </c>
      <c r="K143" t="s">
        <v>18</v>
      </c>
      <c r="L143" t="s">
        <v>19</v>
      </c>
      <c r="M143" t="s">
        <v>20</v>
      </c>
    </row>
    <row r="144" spans="1:13" x14ac:dyDescent="0.25">
      <c r="A144" t="s">
        <v>205</v>
      </c>
      <c r="B144" t="s">
        <v>14</v>
      </c>
      <c r="C144" s="1">
        <v>45927</v>
      </c>
      <c r="D144" s="1">
        <v>45957</v>
      </c>
      <c r="E144" s="1">
        <v>45978</v>
      </c>
      <c r="F144" t="s">
        <v>45</v>
      </c>
      <c r="G144" t="s">
        <v>37</v>
      </c>
      <c r="H144">
        <v>2177.5500000000002</v>
      </c>
      <c r="I144">
        <v>2177.5500000000002</v>
      </c>
      <c r="J144" t="s">
        <v>25</v>
      </c>
      <c r="K144" t="s">
        <v>26</v>
      </c>
      <c r="L144" t="s">
        <v>55</v>
      </c>
      <c r="M144" t="s">
        <v>46</v>
      </c>
    </row>
    <row r="145" spans="1:13" x14ac:dyDescent="0.25">
      <c r="A145" t="s">
        <v>206</v>
      </c>
      <c r="B145" t="s">
        <v>44</v>
      </c>
      <c r="C145" s="1">
        <v>45928</v>
      </c>
      <c r="D145" s="1">
        <v>45958</v>
      </c>
      <c r="E145" s="1">
        <v>45977</v>
      </c>
      <c r="F145" t="s">
        <v>45</v>
      </c>
      <c r="G145" t="s">
        <v>37</v>
      </c>
      <c r="H145">
        <v>2245.92</v>
      </c>
      <c r="I145">
        <v>2245.92</v>
      </c>
      <c r="J145" t="s">
        <v>25</v>
      </c>
      <c r="K145" t="s">
        <v>18</v>
      </c>
      <c r="L145" t="s">
        <v>19</v>
      </c>
      <c r="M145" t="s">
        <v>39</v>
      </c>
    </row>
    <row r="146" spans="1:13" x14ac:dyDescent="0.25">
      <c r="A146" t="s">
        <v>207</v>
      </c>
      <c r="B146" t="s">
        <v>76</v>
      </c>
      <c r="C146" s="1">
        <v>45929</v>
      </c>
      <c r="D146" s="1">
        <v>45959</v>
      </c>
      <c r="E146" s="1">
        <v>45978</v>
      </c>
      <c r="F146" t="s">
        <v>15</v>
      </c>
      <c r="G146" t="s">
        <v>53</v>
      </c>
      <c r="H146">
        <v>5813.75</v>
      </c>
      <c r="I146">
        <v>5813.75</v>
      </c>
      <c r="J146" t="s">
        <v>25</v>
      </c>
      <c r="K146" t="s">
        <v>18</v>
      </c>
      <c r="L146" t="s">
        <v>19</v>
      </c>
      <c r="M146" t="s">
        <v>28</v>
      </c>
    </row>
    <row r="147" spans="1:13" x14ac:dyDescent="0.25">
      <c r="A147" t="s">
        <v>208</v>
      </c>
      <c r="B147" t="s">
        <v>78</v>
      </c>
      <c r="C147" s="1">
        <v>45929</v>
      </c>
      <c r="D147" s="1">
        <v>45959</v>
      </c>
      <c r="F147" t="s">
        <v>59</v>
      </c>
      <c r="G147" t="s">
        <v>53</v>
      </c>
      <c r="H147">
        <v>6462.89</v>
      </c>
      <c r="I147">
        <v>0</v>
      </c>
      <c r="J147" t="s">
        <v>17</v>
      </c>
      <c r="K147" t="s">
        <v>26</v>
      </c>
      <c r="L147" t="s">
        <v>38</v>
      </c>
      <c r="M147" t="s">
        <v>32</v>
      </c>
    </row>
    <row r="148" spans="1:13" x14ac:dyDescent="0.25">
      <c r="A148" t="s">
        <v>209</v>
      </c>
      <c r="B148" t="s">
        <v>126</v>
      </c>
      <c r="C148" s="1">
        <v>45929</v>
      </c>
      <c r="D148" s="1">
        <v>45959</v>
      </c>
      <c r="E148" s="1">
        <v>45980</v>
      </c>
      <c r="F148" t="s">
        <v>23</v>
      </c>
      <c r="G148" t="s">
        <v>16</v>
      </c>
      <c r="H148">
        <v>987.55</v>
      </c>
      <c r="I148">
        <v>987.55</v>
      </c>
      <c r="J148" t="s">
        <v>25</v>
      </c>
      <c r="K148" t="s">
        <v>18</v>
      </c>
      <c r="L148" t="s">
        <v>19</v>
      </c>
      <c r="M148" t="s">
        <v>20</v>
      </c>
    </row>
    <row r="149" spans="1:13" x14ac:dyDescent="0.25">
      <c r="A149" t="s">
        <v>210</v>
      </c>
      <c r="B149" t="s">
        <v>22</v>
      </c>
      <c r="C149" s="1">
        <v>45931</v>
      </c>
      <c r="D149" s="1">
        <v>45961</v>
      </c>
      <c r="F149" t="s">
        <v>15</v>
      </c>
      <c r="G149" t="s">
        <v>31</v>
      </c>
      <c r="H149">
        <v>943.43</v>
      </c>
      <c r="I149">
        <v>0</v>
      </c>
      <c r="J149" t="s">
        <v>17</v>
      </c>
      <c r="K149" t="s">
        <v>26</v>
      </c>
      <c r="L149" t="s">
        <v>34</v>
      </c>
      <c r="M149" t="s">
        <v>46</v>
      </c>
    </row>
    <row r="150" spans="1:13" x14ac:dyDescent="0.25">
      <c r="A150" t="s">
        <v>211</v>
      </c>
      <c r="B150" t="s">
        <v>118</v>
      </c>
      <c r="C150" s="1">
        <v>45932</v>
      </c>
      <c r="D150" s="1">
        <v>45962</v>
      </c>
      <c r="E150" s="1">
        <v>45962</v>
      </c>
      <c r="F150" t="s">
        <v>30</v>
      </c>
      <c r="G150" t="s">
        <v>69</v>
      </c>
      <c r="H150">
        <v>460.09</v>
      </c>
      <c r="I150">
        <v>460.09</v>
      </c>
      <c r="J150" t="s">
        <v>25</v>
      </c>
      <c r="K150" t="s">
        <v>18</v>
      </c>
      <c r="L150" t="s">
        <v>19</v>
      </c>
      <c r="M150" t="s">
        <v>20</v>
      </c>
    </row>
    <row r="151" spans="1:13" x14ac:dyDescent="0.25">
      <c r="A151" t="s">
        <v>212</v>
      </c>
      <c r="B151" t="s">
        <v>96</v>
      </c>
      <c r="C151" s="1">
        <v>45935</v>
      </c>
      <c r="D151" s="1">
        <v>45965</v>
      </c>
      <c r="E151" s="1">
        <v>45965</v>
      </c>
      <c r="F151" t="s">
        <v>59</v>
      </c>
      <c r="G151" t="s">
        <v>24</v>
      </c>
      <c r="H151">
        <v>2563.1999999999998</v>
      </c>
      <c r="I151">
        <v>2563.1999999999998</v>
      </c>
      <c r="J151" t="s">
        <v>25</v>
      </c>
      <c r="K151" t="s">
        <v>18</v>
      </c>
      <c r="L151" t="s">
        <v>19</v>
      </c>
      <c r="M151" t="s">
        <v>20</v>
      </c>
    </row>
    <row r="152" spans="1:13" x14ac:dyDescent="0.25">
      <c r="A152" t="s">
        <v>213</v>
      </c>
      <c r="B152" t="s">
        <v>96</v>
      </c>
      <c r="C152" s="1">
        <v>45939</v>
      </c>
      <c r="D152" s="1">
        <v>45969</v>
      </c>
      <c r="E152" s="1">
        <v>45994</v>
      </c>
      <c r="F152" t="s">
        <v>30</v>
      </c>
      <c r="G152" t="s">
        <v>24</v>
      </c>
      <c r="H152">
        <v>1097.72</v>
      </c>
      <c r="I152">
        <v>1097.72</v>
      </c>
      <c r="J152" t="s">
        <v>25</v>
      </c>
      <c r="K152" t="s">
        <v>18</v>
      </c>
      <c r="L152" t="s">
        <v>19</v>
      </c>
      <c r="M152" t="s">
        <v>46</v>
      </c>
    </row>
    <row r="153" spans="1:13" x14ac:dyDescent="0.25">
      <c r="A153" t="s">
        <v>214</v>
      </c>
      <c r="B153" t="s">
        <v>81</v>
      </c>
      <c r="C153" s="1">
        <v>45941</v>
      </c>
      <c r="D153" s="1">
        <v>45971</v>
      </c>
      <c r="E153" s="1">
        <v>45986</v>
      </c>
      <c r="F153" t="s">
        <v>15</v>
      </c>
      <c r="G153" t="s">
        <v>31</v>
      </c>
      <c r="H153">
        <v>1491.62</v>
      </c>
      <c r="I153">
        <v>1491.62</v>
      </c>
      <c r="J153" t="s">
        <v>25</v>
      </c>
      <c r="K153" t="s">
        <v>26</v>
      </c>
      <c r="L153" t="s">
        <v>113</v>
      </c>
      <c r="M153" t="s">
        <v>46</v>
      </c>
    </row>
    <row r="154" spans="1:13" x14ac:dyDescent="0.25">
      <c r="A154" t="s">
        <v>215</v>
      </c>
      <c r="B154" t="s">
        <v>71</v>
      </c>
      <c r="C154" s="1">
        <v>45943</v>
      </c>
      <c r="D154" s="1">
        <v>45973</v>
      </c>
      <c r="E154" s="1">
        <v>45966</v>
      </c>
      <c r="F154" t="s">
        <v>15</v>
      </c>
      <c r="G154" t="s">
        <v>69</v>
      </c>
      <c r="H154">
        <v>2421.65</v>
      </c>
      <c r="I154">
        <v>2421.65</v>
      </c>
      <c r="J154" t="s">
        <v>25</v>
      </c>
      <c r="K154" t="s">
        <v>26</v>
      </c>
      <c r="L154" t="s">
        <v>38</v>
      </c>
      <c r="M154" t="s">
        <v>46</v>
      </c>
    </row>
    <row r="155" spans="1:13" x14ac:dyDescent="0.25">
      <c r="A155" t="s">
        <v>216</v>
      </c>
      <c r="B155" t="s">
        <v>58</v>
      </c>
      <c r="C155" s="1">
        <v>45943</v>
      </c>
      <c r="D155" s="1">
        <v>45973</v>
      </c>
      <c r="E155" s="1">
        <v>45995</v>
      </c>
      <c r="F155" t="s">
        <v>15</v>
      </c>
      <c r="G155" t="s">
        <v>24</v>
      </c>
      <c r="H155">
        <v>3672.81</v>
      </c>
      <c r="I155">
        <v>3672.81</v>
      </c>
      <c r="J155" t="s">
        <v>25</v>
      </c>
      <c r="K155" t="s">
        <v>18</v>
      </c>
      <c r="L155" t="s">
        <v>19</v>
      </c>
      <c r="M155" t="s">
        <v>20</v>
      </c>
    </row>
    <row r="156" spans="1:13" x14ac:dyDescent="0.25">
      <c r="A156" t="s">
        <v>217</v>
      </c>
      <c r="B156" t="s">
        <v>96</v>
      </c>
      <c r="C156" s="1">
        <v>45943</v>
      </c>
      <c r="D156" s="1">
        <v>45973</v>
      </c>
      <c r="E156" s="1">
        <v>45969</v>
      </c>
      <c r="F156" t="s">
        <v>45</v>
      </c>
      <c r="G156" t="s">
        <v>16</v>
      </c>
      <c r="H156">
        <v>1960.87</v>
      </c>
      <c r="I156">
        <v>1960.87</v>
      </c>
      <c r="J156" t="s">
        <v>25</v>
      </c>
      <c r="K156" t="s">
        <v>18</v>
      </c>
      <c r="L156" t="s">
        <v>19</v>
      </c>
      <c r="M156" t="s">
        <v>32</v>
      </c>
    </row>
    <row r="157" spans="1:13" x14ac:dyDescent="0.25">
      <c r="A157" t="s">
        <v>218</v>
      </c>
      <c r="B157" t="s">
        <v>99</v>
      </c>
      <c r="C157" s="1">
        <v>45944</v>
      </c>
      <c r="D157" s="1">
        <v>45974</v>
      </c>
      <c r="E157" s="1">
        <v>45971</v>
      </c>
      <c r="F157" t="s">
        <v>45</v>
      </c>
      <c r="G157" t="s">
        <v>53</v>
      </c>
      <c r="H157">
        <v>1515.35</v>
      </c>
      <c r="I157">
        <v>433.89</v>
      </c>
      <c r="J157" t="s">
        <v>66</v>
      </c>
      <c r="K157" t="s">
        <v>26</v>
      </c>
      <c r="L157" t="s">
        <v>55</v>
      </c>
      <c r="M157" t="s">
        <v>42</v>
      </c>
    </row>
    <row r="158" spans="1:13" x14ac:dyDescent="0.25">
      <c r="A158" t="s">
        <v>219</v>
      </c>
      <c r="B158" t="s">
        <v>71</v>
      </c>
      <c r="C158" s="1">
        <v>45947</v>
      </c>
      <c r="D158" s="1">
        <v>45977</v>
      </c>
      <c r="E158" s="1">
        <v>45998</v>
      </c>
      <c r="F158" t="s">
        <v>30</v>
      </c>
      <c r="G158" t="s">
        <v>69</v>
      </c>
      <c r="H158">
        <v>2646.21</v>
      </c>
      <c r="I158">
        <v>2646.21</v>
      </c>
      <c r="J158" t="s">
        <v>25</v>
      </c>
      <c r="K158" t="s">
        <v>18</v>
      </c>
      <c r="L158" t="s">
        <v>19</v>
      </c>
      <c r="M158" t="s">
        <v>39</v>
      </c>
    </row>
    <row r="159" spans="1:13" x14ac:dyDescent="0.25">
      <c r="A159" t="s">
        <v>220</v>
      </c>
      <c r="B159" t="s">
        <v>50</v>
      </c>
      <c r="C159" s="1">
        <v>45951</v>
      </c>
      <c r="D159" s="1">
        <v>45981</v>
      </c>
      <c r="F159" t="s">
        <v>30</v>
      </c>
      <c r="G159" t="s">
        <v>69</v>
      </c>
      <c r="H159">
        <v>1820.69</v>
      </c>
      <c r="I159">
        <v>0</v>
      </c>
      <c r="J159" t="s">
        <v>17</v>
      </c>
      <c r="K159" t="s">
        <v>18</v>
      </c>
      <c r="L159" t="s">
        <v>19</v>
      </c>
      <c r="M159" t="s">
        <v>46</v>
      </c>
    </row>
    <row r="160" spans="1:13" x14ac:dyDescent="0.25">
      <c r="A160" t="s">
        <v>221</v>
      </c>
      <c r="B160" t="s">
        <v>58</v>
      </c>
      <c r="C160" s="1">
        <v>45953</v>
      </c>
      <c r="D160" s="1">
        <v>45983</v>
      </c>
      <c r="E160" s="1">
        <v>45964</v>
      </c>
      <c r="F160" t="s">
        <v>45</v>
      </c>
      <c r="G160" t="s">
        <v>16</v>
      </c>
      <c r="H160">
        <v>1813.96</v>
      </c>
      <c r="I160">
        <v>1813.96</v>
      </c>
      <c r="J160" t="s">
        <v>25</v>
      </c>
      <c r="K160" t="s">
        <v>18</v>
      </c>
      <c r="L160" t="s">
        <v>19</v>
      </c>
      <c r="M160" t="s">
        <v>28</v>
      </c>
    </row>
    <row r="161" spans="1:13" x14ac:dyDescent="0.25">
      <c r="A161" t="s">
        <v>222</v>
      </c>
      <c r="B161" t="s">
        <v>76</v>
      </c>
      <c r="C161" s="1">
        <v>45953</v>
      </c>
      <c r="D161" s="1">
        <v>45983</v>
      </c>
      <c r="F161" t="s">
        <v>30</v>
      </c>
      <c r="G161" t="s">
        <v>31</v>
      </c>
      <c r="H161">
        <v>2609.84</v>
      </c>
      <c r="I161">
        <v>0</v>
      </c>
      <c r="J161" t="s">
        <v>17</v>
      </c>
      <c r="K161" t="s">
        <v>18</v>
      </c>
      <c r="L161" t="s">
        <v>19</v>
      </c>
      <c r="M161" t="s">
        <v>39</v>
      </c>
    </row>
    <row r="162" spans="1:13" x14ac:dyDescent="0.25">
      <c r="A162" t="s">
        <v>223</v>
      </c>
      <c r="B162" t="s">
        <v>64</v>
      </c>
      <c r="C162" s="1">
        <v>45954</v>
      </c>
      <c r="D162" s="1">
        <v>45984</v>
      </c>
      <c r="F162" t="s">
        <v>15</v>
      </c>
      <c r="G162" t="s">
        <v>37</v>
      </c>
      <c r="H162">
        <v>3674.92</v>
      </c>
      <c r="I162">
        <v>1859.67</v>
      </c>
      <c r="J162" t="s">
        <v>66</v>
      </c>
      <c r="K162" t="s">
        <v>26</v>
      </c>
      <c r="L162" t="s">
        <v>93</v>
      </c>
      <c r="M162" t="s">
        <v>39</v>
      </c>
    </row>
    <row r="163" spans="1:13" x14ac:dyDescent="0.25">
      <c r="A163" t="s">
        <v>224</v>
      </c>
      <c r="B163" t="s">
        <v>48</v>
      </c>
      <c r="C163" s="1">
        <v>45955</v>
      </c>
      <c r="D163" s="1">
        <v>45985</v>
      </c>
      <c r="F163" t="s">
        <v>45</v>
      </c>
      <c r="G163" t="s">
        <v>24</v>
      </c>
      <c r="H163">
        <v>2122.5</v>
      </c>
      <c r="I163">
        <v>0</v>
      </c>
      <c r="J163" t="s">
        <v>17</v>
      </c>
      <c r="K163" t="s">
        <v>18</v>
      </c>
      <c r="L163" t="s">
        <v>19</v>
      </c>
      <c r="M163" t="s">
        <v>39</v>
      </c>
    </row>
    <row r="164" spans="1:13" x14ac:dyDescent="0.25">
      <c r="A164" t="s">
        <v>225</v>
      </c>
      <c r="B164" t="s">
        <v>111</v>
      </c>
      <c r="C164" s="1">
        <v>45956</v>
      </c>
      <c r="D164" s="1">
        <v>45986</v>
      </c>
      <c r="E164" s="1">
        <v>45985</v>
      </c>
      <c r="F164" t="s">
        <v>23</v>
      </c>
      <c r="G164" t="s">
        <v>24</v>
      </c>
      <c r="H164">
        <v>5916.08</v>
      </c>
      <c r="I164">
        <v>5916.08</v>
      </c>
      <c r="J164" t="s">
        <v>25</v>
      </c>
      <c r="K164" t="s">
        <v>18</v>
      </c>
      <c r="L164" t="s">
        <v>19</v>
      </c>
      <c r="M164" t="s">
        <v>28</v>
      </c>
    </row>
    <row r="165" spans="1:13" x14ac:dyDescent="0.25">
      <c r="A165" t="s">
        <v>226</v>
      </c>
      <c r="B165" t="s">
        <v>71</v>
      </c>
      <c r="C165" s="1">
        <v>45957</v>
      </c>
      <c r="D165" s="1">
        <v>45987</v>
      </c>
      <c r="F165" t="s">
        <v>30</v>
      </c>
      <c r="G165" t="s">
        <v>16</v>
      </c>
      <c r="H165">
        <v>1823.95</v>
      </c>
      <c r="I165">
        <v>1388.76</v>
      </c>
      <c r="J165" t="s">
        <v>66</v>
      </c>
      <c r="K165" t="s">
        <v>18</v>
      </c>
      <c r="L165" t="s">
        <v>19</v>
      </c>
      <c r="M165" t="s">
        <v>39</v>
      </c>
    </row>
    <row r="166" spans="1:13" x14ac:dyDescent="0.25">
      <c r="A166" t="s">
        <v>227</v>
      </c>
      <c r="B166" t="s">
        <v>96</v>
      </c>
      <c r="C166" s="1">
        <v>45958</v>
      </c>
      <c r="D166" s="1">
        <v>45988</v>
      </c>
      <c r="E166" s="1">
        <v>45996</v>
      </c>
      <c r="F166" t="s">
        <v>23</v>
      </c>
      <c r="G166" t="s">
        <v>24</v>
      </c>
      <c r="H166">
        <v>3449.02</v>
      </c>
      <c r="I166">
        <v>3449.02</v>
      </c>
      <c r="J166" t="s">
        <v>25</v>
      </c>
      <c r="K166" t="s">
        <v>18</v>
      </c>
      <c r="L166" t="s">
        <v>19</v>
      </c>
      <c r="M166" t="s">
        <v>32</v>
      </c>
    </row>
    <row r="167" spans="1:13" x14ac:dyDescent="0.25">
      <c r="A167" t="s">
        <v>228</v>
      </c>
      <c r="B167" t="s">
        <v>41</v>
      </c>
      <c r="C167" s="1">
        <v>45959</v>
      </c>
      <c r="D167" s="1">
        <v>45989</v>
      </c>
      <c r="E167" s="1">
        <v>45994</v>
      </c>
      <c r="F167" t="s">
        <v>59</v>
      </c>
      <c r="G167" t="s">
        <v>31</v>
      </c>
      <c r="H167">
        <v>1261.6400000000001</v>
      </c>
      <c r="I167">
        <v>1261.6400000000001</v>
      </c>
      <c r="J167" t="s">
        <v>25</v>
      </c>
      <c r="K167" t="s">
        <v>18</v>
      </c>
      <c r="L167" t="s">
        <v>19</v>
      </c>
      <c r="M167" t="s">
        <v>20</v>
      </c>
    </row>
    <row r="168" spans="1:13" x14ac:dyDescent="0.25">
      <c r="A168" t="s">
        <v>229</v>
      </c>
      <c r="B168" t="s">
        <v>44</v>
      </c>
      <c r="C168" s="1">
        <v>45959</v>
      </c>
      <c r="D168" s="1">
        <v>45989</v>
      </c>
      <c r="E168" s="1">
        <v>45970</v>
      </c>
      <c r="F168" t="s">
        <v>59</v>
      </c>
      <c r="G168" t="s">
        <v>53</v>
      </c>
      <c r="H168">
        <v>6974.3</v>
      </c>
      <c r="I168">
        <v>6974.3</v>
      </c>
      <c r="J168" t="s">
        <v>25</v>
      </c>
      <c r="K168" t="s">
        <v>18</v>
      </c>
      <c r="L168" t="s">
        <v>19</v>
      </c>
      <c r="M168" t="s">
        <v>42</v>
      </c>
    </row>
    <row r="169" spans="1:13" x14ac:dyDescent="0.25">
      <c r="A169" t="s">
        <v>230</v>
      </c>
      <c r="B169" t="s">
        <v>126</v>
      </c>
      <c r="C169" s="1">
        <v>45961</v>
      </c>
      <c r="D169" s="1">
        <v>45991</v>
      </c>
      <c r="F169" t="s">
        <v>23</v>
      </c>
      <c r="G169" t="s">
        <v>16</v>
      </c>
      <c r="H169">
        <v>1957.65</v>
      </c>
      <c r="I169">
        <v>0</v>
      </c>
      <c r="J169" t="s">
        <v>17</v>
      </c>
      <c r="K169" t="s">
        <v>18</v>
      </c>
      <c r="L169" t="s">
        <v>19</v>
      </c>
      <c r="M169" t="s">
        <v>42</v>
      </c>
    </row>
    <row r="170" spans="1:13" x14ac:dyDescent="0.25">
      <c r="A170" t="s">
        <v>231</v>
      </c>
      <c r="B170" t="s">
        <v>41</v>
      </c>
      <c r="C170" s="1">
        <v>45966</v>
      </c>
      <c r="D170" s="1">
        <v>45996</v>
      </c>
      <c r="E170" s="1">
        <v>45974</v>
      </c>
      <c r="F170" t="s">
        <v>15</v>
      </c>
      <c r="G170" t="s">
        <v>24</v>
      </c>
      <c r="H170">
        <v>940.71</v>
      </c>
      <c r="I170">
        <v>940.71</v>
      </c>
      <c r="J170" t="s">
        <v>25</v>
      </c>
      <c r="K170" t="s">
        <v>18</v>
      </c>
      <c r="L170" t="s">
        <v>19</v>
      </c>
      <c r="M170" t="s">
        <v>42</v>
      </c>
    </row>
    <row r="171" spans="1:13" x14ac:dyDescent="0.25">
      <c r="A171" t="s">
        <v>232</v>
      </c>
      <c r="B171" t="s">
        <v>14</v>
      </c>
      <c r="C171" s="1">
        <v>45967</v>
      </c>
      <c r="D171" s="1">
        <v>45997</v>
      </c>
      <c r="E171" s="1">
        <v>46012</v>
      </c>
      <c r="F171" t="s">
        <v>30</v>
      </c>
      <c r="G171" t="s">
        <v>69</v>
      </c>
      <c r="H171">
        <v>2366.2800000000002</v>
      </c>
      <c r="I171">
        <v>1686.38</v>
      </c>
      <c r="J171" t="s">
        <v>66</v>
      </c>
      <c r="K171" t="s">
        <v>26</v>
      </c>
      <c r="L171" t="s">
        <v>55</v>
      </c>
      <c r="M171" t="s">
        <v>46</v>
      </c>
    </row>
    <row r="172" spans="1:13" x14ac:dyDescent="0.25">
      <c r="A172" t="s">
        <v>233</v>
      </c>
      <c r="B172" t="s">
        <v>52</v>
      </c>
      <c r="C172" s="1">
        <v>45968</v>
      </c>
      <c r="D172" s="1">
        <v>45998</v>
      </c>
      <c r="E172" s="1">
        <v>46015</v>
      </c>
      <c r="F172" t="s">
        <v>45</v>
      </c>
      <c r="G172" t="s">
        <v>69</v>
      </c>
      <c r="H172">
        <v>1398.55</v>
      </c>
      <c r="I172">
        <v>1398.55</v>
      </c>
      <c r="J172" t="s">
        <v>25</v>
      </c>
      <c r="K172" t="s">
        <v>18</v>
      </c>
      <c r="L172" t="s">
        <v>19</v>
      </c>
      <c r="M172" t="s">
        <v>46</v>
      </c>
    </row>
    <row r="173" spans="1:13" x14ac:dyDescent="0.25">
      <c r="A173" t="s">
        <v>234</v>
      </c>
      <c r="B173" t="s">
        <v>14</v>
      </c>
      <c r="C173" s="1">
        <v>45969</v>
      </c>
      <c r="D173" s="1">
        <v>45999</v>
      </c>
      <c r="E173" s="1">
        <v>45982</v>
      </c>
      <c r="F173" t="s">
        <v>59</v>
      </c>
      <c r="G173" t="s">
        <v>37</v>
      </c>
      <c r="H173">
        <v>3328.13</v>
      </c>
      <c r="I173">
        <v>2126.58</v>
      </c>
      <c r="J173" t="s">
        <v>66</v>
      </c>
      <c r="K173" t="s">
        <v>26</v>
      </c>
      <c r="L173" t="s">
        <v>38</v>
      </c>
      <c r="M173" t="s">
        <v>20</v>
      </c>
    </row>
    <row r="174" spans="1:13" x14ac:dyDescent="0.25">
      <c r="A174" t="s">
        <v>235</v>
      </c>
      <c r="B174" t="s">
        <v>64</v>
      </c>
      <c r="C174" s="1">
        <v>45970</v>
      </c>
      <c r="D174" s="1">
        <v>46000</v>
      </c>
      <c r="E174" s="1">
        <v>46006</v>
      </c>
      <c r="F174" t="s">
        <v>23</v>
      </c>
      <c r="G174" t="s">
        <v>53</v>
      </c>
      <c r="H174">
        <v>7750.55</v>
      </c>
      <c r="I174">
        <v>7750.55</v>
      </c>
      <c r="J174" t="s">
        <v>25</v>
      </c>
      <c r="K174" t="s">
        <v>18</v>
      </c>
      <c r="L174" t="s">
        <v>19</v>
      </c>
      <c r="M174" t="s">
        <v>39</v>
      </c>
    </row>
    <row r="175" spans="1:13" x14ac:dyDescent="0.25">
      <c r="A175" t="s">
        <v>236</v>
      </c>
      <c r="B175" t="s">
        <v>44</v>
      </c>
      <c r="C175" s="1">
        <v>45970</v>
      </c>
      <c r="D175" s="1">
        <v>46000</v>
      </c>
      <c r="E175" s="1">
        <v>46005</v>
      </c>
      <c r="F175" t="s">
        <v>23</v>
      </c>
      <c r="G175" t="s">
        <v>16</v>
      </c>
      <c r="H175">
        <v>1776.95</v>
      </c>
      <c r="I175">
        <v>879.51</v>
      </c>
      <c r="J175" t="s">
        <v>66</v>
      </c>
      <c r="K175" t="s">
        <v>26</v>
      </c>
      <c r="L175" t="s">
        <v>38</v>
      </c>
      <c r="M175" t="s">
        <v>28</v>
      </c>
    </row>
    <row r="176" spans="1:13" x14ac:dyDescent="0.25">
      <c r="A176" t="s">
        <v>237</v>
      </c>
      <c r="B176" t="s">
        <v>58</v>
      </c>
      <c r="C176" s="1">
        <v>45972</v>
      </c>
      <c r="D176" s="1">
        <v>46002</v>
      </c>
      <c r="E176" s="1">
        <v>46046</v>
      </c>
      <c r="F176" t="s">
        <v>15</v>
      </c>
      <c r="G176" t="s">
        <v>31</v>
      </c>
      <c r="H176">
        <v>971.04</v>
      </c>
      <c r="I176">
        <v>367.77</v>
      </c>
      <c r="J176" t="s">
        <v>66</v>
      </c>
      <c r="K176" t="s">
        <v>18</v>
      </c>
      <c r="L176" t="s">
        <v>19</v>
      </c>
      <c r="M176" t="s">
        <v>39</v>
      </c>
    </row>
    <row r="177" spans="1:13" x14ac:dyDescent="0.25">
      <c r="A177" t="s">
        <v>238</v>
      </c>
      <c r="B177" t="s">
        <v>71</v>
      </c>
      <c r="C177" s="1">
        <v>45975</v>
      </c>
      <c r="D177" s="1">
        <v>46005</v>
      </c>
      <c r="F177" t="s">
        <v>59</v>
      </c>
      <c r="G177" t="s">
        <v>69</v>
      </c>
      <c r="H177">
        <v>2593.63</v>
      </c>
      <c r="I177">
        <v>0</v>
      </c>
      <c r="J177" t="s">
        <v>17</v>
      </c>
      <c r="K177" t="s">
        <v>26</v>
      </c>
      <c r="L177" t="s">
        <v>38</v>
      </c>
      <c r="M177" t="s">
        <v>32</v>
      </c>
    </row>
    <row r="178" spans="1:13" x14ac:dyDescent="0.25">
      <c r="A178" t="s">
        <v>239</v>
      </c>
      <c r="B178" t="s">
        <v>71</v>
      </c>
      <c r="C178" s="1">
        <v>45976</v>
      </c>
      <c r="D178" s="1">
        <v>46006</v>
      </c>
      <c r="E178" s="1">
        <v>46024</v>
      </c>
      <c r="F178" t="s">
        <v>30</v>
      </c>
      <c r="G178" t="s">
        <v>69</v>
      </c>
      <c r="H178">
        <v>2949.23</v>
      </c>
      <c r="I178">
        <v>2949.23</v>
      </c>
      <c r="J178" t="s">
        <v>25</v>
      </c>
      <c r="K178" t="s">
        <v>18</v>
      </c>
      <c r="L178" t="s">
        <v>19</v>
      </c>
      <c r="M178" t="s">
        <v>20</v>
      </c>
    </row>
    <row r="179" spans="1:13" x14ac:dyDescent="0.25">
      <c r="A179" t="s">
        <v>240</v>
      </c>
      <c r="B179" t="s">
        <v>78</v>
      </c>
      <c r="C179" s="1">
        <v>45976</v>
      </c>
      <c r="D179" s="1">
        <v>46006</v>
      </c>
      <c r="F179" t="s">
        <v>30</v>
      </c>
      <c r="G179" t="s">
        <v>69</v>
      </c>
      <c r="H179">
        <v>2650.76</v>
      </c>
      <c r="I179">
        <v>1712.3</v>
      </c>
      <c r="J179" t="s">
        <v>66</v>
      </c>
      <c r="K179" t="s">
        <v>18</v>
      </c>
      <c r="L179" t="s">
        <v>19</v>
      </c>
      <c r="M179" t="s">
        <v>42</v>
      </c>
    </row>
    <row r="180" spans="1:13" x14ac:dyDescent="0.25">
      <c r="A180" t="s">
        <v>241</v>
      </c>
      <c r="B180" t="s">
        <v>111</v>
      </c>
      <c r="C180" s="1">
        <v>45977</v>
      </c>
      <c r="D180" s="1">
        <v>46007</v>
      </c>
      <c r="F180" t="s">
        <v>30</v>
      </c>
      <c r="G180" t="s">
        <v>69</v>
      </c>
      <c r="H180">
        <v>1357.48</v>
      </c>
      <c r="I180">
        <v>0</v>
      </c>
      <c r="J180" t="s">
        <v>17</v>
      </c>
      <c r="K180" t="s">
        <v>26</v>
      </c>
      <c r="L180" t="s">
        <v>55</v>
      </c>
      <c r="M180" t="s">
        <v>42</v>
      </c>
    </row>
    <row r="181" spans="1:13" x14ac:dyDescent="0.25">
      <c r="A181" t="s">
        <v>242</v>
      </c>
      <c r="B181" t="s">
        <v>111</v>
      </c>
      <c r="C181" s="1">
        <v>45980</v>
      </c>
      <c r="D181" s="1">
        <v>46010</v>
      </c>
      <c r="E181" s="1">
        <v>46008</v>
      </c>
      <c r="F181" t="s">
        <v>30</v>
      </c>
      <c r="G181" t="s">
        <v>69</v>
      </c>
      <c r="H181">
        <v>2474.69</v>
      </c>
      <c r="I181">
        <v>2474.69</v>
      </c>
      <c r="J181" t="s">
        <v>25</v>
      </c>
      <c r="K181" t="s">
        <v>18</v>
      </c>
      <c r="L181" t="s">
        <v>19</v>
      </c>
      <c r="M181" t="s">
        <v>20</v>
      </c>
    </row>
    <row r="182" spans="1:13" x14ac:dyDescent="0.25">
      <c r="A182" t="s">
        <v>243</v>
      </c>
      <c r="B182" t="s">
        <v>48</v>
      </c>
      <c r="C182" s="1">
        <v>45982</v>
      </c>
      <c r="D182" s="1">
        <v>46012</v>
      </c>
      <c r="E182" s="1">
        <v>46010</v>
      </c>
      <c r="F182" t="s">
        <v>45</v>
      </c>
      <c r="G182" t="s">
        <v>53</v>
      </c>
      <c r="H182">
        <v>7230.55</v>
      </c>
      <c r="I182">
        <v>7230.55</v>
      </c>
      <c r="J182" t="s">
        <v>25</v>
      </c>
      <c r="K182" t="s">
        <v>18</v>
      </c>
      <c r="L182" t="s">
        <v>19</v>
      </c>
      <c r="M182" t="s">
        <v>39</v>
      </c>
    </row>
    <row r="183" spans="1:13" x14ac:dyDescent="0.25">
      <c r="A183" t="s">
        <v>244</v>
      </c>
      <c r="B183" t="s">
        <v>78</v>
      </c>
      <c r="C183" s="1">
        <v>45983</v>
      </c>
      <c r="D183" s="1">
        <v>46013</v>
      </c>
      <c r="E183" s="1">
        <v>46023</v>
      </c>
      <c r="F183" t="s">
        <v>45</v>
      </c>
      <c r="G183" t="s">
        <v>69</v>
      </c>
      <c r="H183">
        <v>1036.74</v>
      </c>
      <c r="I183">
        <v>1036.74</v>
      </c>
      <c r="J183" t="s">
        <v>25</v>
      </c>
      <c r="K183" t="s">
        <v>18</v>
      </c>
      <c r="L183" t="s">
        <v>19</v>
      </c>
      <c r="M183" t="s">
        <v>28</v>
      </c>
    </row>
    <row r="184" spans="1:13" x14ac:dyDescent="0.25">
      <c r="A184" t="s">
        <v>245</v>
      </c>
      <c r="B184" t="s">
        <v>52</v>
      </c>
      <c r="C184" s="1">
        <v>45986</v>
      </c>
      <c r="D184" s="1">
        <v>46016</v>
      </c>
      <c r="F184" t="s">
        <v>45</v>
      </c>
      <c r="G184" t="s">
        <v>69</v>
      </c>
      <c r="H184">
        <v>846.88</v>
      </c>
      <c r="I184">
        <v>0</v>
      </c>
      <c r="J184" t="s">
        <v>17</v>
      </c>
      <c r="K184" t="s">
        <v>18</v>
      </c>
      <c r="L184" t="s">
        <v>19</v>
      </c>
      <c r="M184" t="s">
        <v>28</v>
      </c>
    </row>
    <row r="185" spans="1:13" x14ac:dyDescent="0.25">
      <c r="A185" t="s">
        <v>246</v>
      </c>
      <c r="B185" t="s">
        <v>111</v>
      </c>
      <c r="C185" s="1">
        <v>45986</v>
      </c>
      <c r="D185" s="1">
        <v>46016</v>
      </c>
      <c r="E185" s="1">
        <v>46003</v>
      </c>
      <c r="F185" t="s">
        <v>23</v>
      </c>
      <c r="G185" t="s">
        <v>24</v>
      </c>
      <c r="H185">
        <v>3224.1</v>
      </c>
      <c r="I185">
        <v>1680.41</v>
      </c>
      <c r="J185" t="s">
        <v>66</v>
      </c>
      <c r="K185" t="s">
        <v>26</v>
      </c>
      <c r="L185" t="s">
        <v>85</v>
      </c>
      <c r="M185" t="s">
        <v>46</v>
      </c>
    </row>
    <row r="186" spans="1:13" x14ac:dyDescent="0.25">
      <c r="A186" t="s">
        <v>247</v>
      </c>
      <c r="B186" t="s">
        <v>22</v>
      </c>
      <c r="C186" s="1">
        <v>45990</v>
      </c>
      <c r="D186" s="1">
        <v>46020</v>
      </c>
      <c r="E186" s="1">
        <v>46034</v>
      </c>
      <c r="F186" t="s">
        <v>59</v>
      </c>
      <c r="G186" t="s">
        <v>16</v>
      </c>
      <c r="H186">
        <v>2288.7399999999998</v>
      </c>
      <c r="I186">
        <v>2288.7399999999998</v>
      </c>
      <c r="J186" t="s">
        <v>25</v>
      </c>
      <c r="K186" t="s">
        <v>18</v>
      </c>
      <c r="L186" t="s">
        <v>19</v>
      </c>
      <c r="M186" t="s">
        <v>20</v>
      </c>
    </row>
    <row r="187" spans="1:13" x14ac:dyDescent="0.25">
      <c r="A187" t="s">
        <v>248</v>
      </c>
      <c r="B187" t="s">
        <v>71</v>
      </c>
      <c r="C187" s="1">
        <v>45992</v>
      </c>
      <c r="D187" s="1">
        <v>46022</v>
      </c>
      <c r="E187" s="1">
        <v>46023</v>
      </c>
      <c r="F187" t="s">
        <v>59</v>
      </c>
      <c r="G187" t="s">
        <v>37</v>
      </c>
      <c r="H187">
        <v>2233.16</v>
      </c>
      <c r="I187">
        <v>2233.16</v>
      </c>
      <c r="J187" t="s">
        <v>25</v>
      </c>
      <c r="K187" t="s">
        <v>26</v>
      </c>
      <c r="L187" t="s">
        <v>113</v>
      </c>
      <c r="M187" t="s">
        <v>42</v>
      </c>
    </row>
    <row r="188" spans="1:13" x14ac:dyDescent="0.25">
      <c r="A188" t="s">
        <v>249</v>
      </c>
      <c r="B188" t="s">
        <v>14</v>
      </c>
      <c r="C188" s="1">
        <v>45992</v>
      </c>
      <c r="D188" s="1">
        <v>46022</v>
      </c>
      <c r="E188" s="1">
        <v>46042</v>
      </c>
      <c r="F188" t="s">
        <v>59</v>
      </c>
      <c r="G188" t="s">
        <v>16</v>
      </c>
      <c r="H188">
        <v>453.94</v>
      </c>
      <c r="I188">
        <v>294.17</v>
      </c>
      <c r="J188" t="s">
        <v>66</v>
      </c>
      <c r="K188" t="s">
        <v>26</v>
      </c>
      <c r="L188" t="s">
        <v>55</v>
      </c>
      <c r="M188" t="s">
        <v>20</v>
      </c>
    </row>
    <row r="189" spans="1:13" x14ac:dyDescent="0.25">
      <c r="A189" t="s">
        <v>250</v>
      </c>
      <c r="B189" t="s">
        <v>111</v>
      </c>
      <c r="C189" s="1">
        <v>45992</v>
      </c>
      <c r="D189" s="1">
        <v>46022</v>
      </c>
      <c r="E189" s="1">
        <v>46024</v>
      </c>
      <c r="F189" t="s">
        <v>15</v>
      </c>
      <c r="G189" t="s">
        <v>37</v>
      </c>
      <c r="H189">
        <v>5008.1899999999996</v>
      </c>
      <c r="I189">
        <v>5008.1899999999996</v>
      </c>
      <c r="J189" t="s">
        <v>25</v>
      </c>
      <c r="K189" t="s">
        <v>18</v>
      </c>
      <c r="L189" t="s">
        <v>19</v>
      </c>
      <c r="M189" t="s">
        <v>32</v>
      </c>
    </row>
    <row r="190" spans="1:13" x14ac:dyDescent="0.25">
      <c r="A190" t="s">
        <v>251</v>
      </c>
      <c r="B190" t="s">
        <v>76</v>
      </c>
      <c r="C190" s="1">
        <v>45992</v>
      </c>
      <c r="D190" s="1">
        <v>46022</v>
      </c>
      <c r="E190" s="1">
        <v>46020</v>
      </c>
      <c r="F190" t="s">
        <v>45</v>
      </c>
      <c r="G190" t="s">
        <v>16</v>
      </c>
      <c r="H190">
        <v>1514.22</v>
      </c>
      <c r="I190">
        <v>1514.22</v>
      </c>
      <c r="J190" t="s">
        <v>25</v>
      </c>
      <c r="K190" t="s">
        <v>18</v>
      </c>
      <c r="L190" t="s">
        <v>19</v>
      </c>
      <c r="M190" t="s">
        <v>42</v>
      </c>
    </row>
    <row r="191" spans="1:13" x14ac:dyDescent="0.25">
      <c r="A191" t="s">
        <v>252</v>
      </c>
      <c r="B191" t="s">
        <v>71</v>
      </c>
      <c r="C191" s="1">
        <v>45994</v>
      </c>
      <c r="D191" s="1">
        <v>46024</v>
      </c>
      <c r="E191" s="1">
        <v>46043</v>
      </c>
      <c r="F191" t="s">
        <v>23</v>
      </c>
      <c r="G191" t="s">
        <v>69</v>
      </c>
      <c r="H191">
        <v>498.38</v>
      </c>
      <c r="I191">
        <v>498.38</v>
      </c>
      <c r="J191" t="s">
        <v>25</v>
      </c>
      <c r="K191" t="s">
        <v>18</v>
      </c>
      <c r="L191" t="s">
        <v>19</v>
      </c>
      <c r="M191" t="s">
        <v>20</v>
      </c>
    </row>
    <row r="192" spans="1:13" x14ac:dyDescent="0.25">
      <c r="A192" t="s">
        <v>253</v>
      </c>
      <c r="B192" t="s">
        <v>64</v>
      </c>
      <c r="C192" s="1">
        <v>45996</v>
      </c>
      <c r="D192" s="1">
        <v>46026</v>
      </c>
      <c r="E192" s="1">
        <v>46006</v>
      </c>
      <c r="F192" t="s">
        <v>23</v>
      </c>
      <c r="G192" t="s">
        <v>16</v>
      </c>
      <c r="H192">
        <v>1515.56</v>
      </c>
      <c r="I192">
        <v>1515.56</v>
      </c>
      <c r="J192" t="s">
        <v>25</v>
      </c>
      <c r="K192" t="s">
        <v>26</v>
      </c>
      <c r="L192" t="s">
        <v>27</v>
      </c>
      <c r="M192" t="s">
        <v>39</v>
      </c>
    </row>
    <row r="193" spans="1:13" x14ac:dyDescent="0.25">
      <c r="A193" t="s">
        <v>254</v>
      </c>
      <c r="B193" t="s">
        <v>41</v>
      </c>
      <c r="C193" s="1">
        <v>45997</v>
      </c>
      <c r="D193" s="1">
        <v>46027</v>
      </c>
      <c r="E193" s="1">
        <v>46011</v>
      </c>
      <c r="F193" t="s">
        <v>30</v>
      </c>
      <c r="G193" t="s">
        <v>31</v>
      </c>
      <c r="H193">
        <v>2622.23</v>
      </c>
      <c r="I193">
        <v>2622.23</v>
      </c>
      <c r="J193" t="s">
        <v>25</v>
      </c>
      <c r="K193" t="s">
        <v>18</v>
      </c>
      <c r="L193" t="s">
        <v>19</v>
      </c>
      <c r="M193" t="s">
        <v>39</v>
      </c>
    </row>
    <row r="194" spans="1:13" x14ac:dyDescent="0.25">
      <c r="A194" t="s">
        <v>255</v>
      </c>
      <c r="B194" t="s">
        <v>64</v>
      </c>
      <c r="C194" s="1">
        <v>45997</v>
      </c>
      <c r="D194" s="1">
        <v>46027</v>
      </c>
      <c r="E194" s="1">
        <v>46008</v>
      </c>
      <c r="F194" t="s">
        <v>15</v>
      </c>
      <c r="G194" t="s">
        <v>37</v>
      </c>
      <c r="H194">
        <v>2067.2600000000002</v>
      </c>
      <c r="I194">
        <v>2067.2600000000002</v>
      </c>
      <c r="J194" t="s">
        <v>25</v>
      </c>
      <c r="K194" t="s">
        <v>18</v>
      </c>
      <c r="L194" t="s">
        <v>19</v>
      </c>
      <c r="M194" t="s">
        <v>20</v>
      </c>
    </row>
    <row r="195" spans="1:13" x14ac:dyDescent="0.25">
      <c r="A195" t="s">
        <v>256</v>
      </c>
      <c r="B195" t="s">
        <v>71</v>
      </c>
      <c r="C195" s="1">
        <v>45999</v>
      </c>
      <c r="D195" s="1">
        <v>46029</v>
      </c>
      <c r="E195" s="1">
        <v>46011</v>
      </c>
      <c r="F195" t="s">
        <v>30</v>
      </c>
      <c r="G195" t="s">
        <v>24</v>
      </c>
      <c r="H195">
        <v>5392.89</v>
      </c>
      <c r="I195">
        <v>5392.89</v>
      </c>
      <c r="J195" t="s">
        <v>25</v>
      </c>
      <c r="K195" t="s">
        <v>18</v>
      </c>
      <c r="L195" t="s">
        <v>19</v>
      </c>
      <c r="M195" t="s">
        <v>39</v>
      </c>
    </row>
    <row r="196" spans="1:13" x14ac:dyDescent="0.25">
      <c r="A196" t="s">
        <v>257</v>
      </c>
      <c r="B196" t="s">
        <v>76</v>
      </c>
      <c r="C196" s="1">
        <v>45999</v>
      </c>
      <c r="D196" s="1">
        <v>46029</v>
      </c>
      <c r="E196" s="1">
        <v>46037</v>
      </c>
      <c r="F196" t="s">
        <v>59</v>
      </c>
      <c r="G196" t="s">
        <v>37</v>
      </c>
      <c r="H196">
        <v>1712.84</v>
      </c>
      <c r="I196">
        <v>1712.84</v>
      </c>
      <c r="J196" t="s">
        <v>25</v>
      </c>
      <c r="K196" t="s">
        <v>18</v>
      </c>
      <c r="L196" t="s">
        <v>19</v>
      </c>
      <c r="M196" t="s">
        <v>46</v>
      </c>
    </row>
    <row r="197" spans="1:13" x14ac:dyDescent="0.25">
      <c r="A197" t="s">
        <v>258</v>
      </c>
      <c r="B197" t="s">
        <v>64</v>
      </c>
      <c r="C197" s="1">
        <v>46006</v>
      </c>
      <c r="D197" s="1">
        <v>46036</v>
      </c>
      <c r="E197" s="1">
        <v>46035</v>
      </c>
      <c r="F197" t="s">
        <v>59</v>
      </c>
      <c r="G197" t="s">
        <v>69</v>
      </c>
      <c r="H197">
        <v>1042.19</v>
      </c>
      <c r="I197">
        <v>1042.19</v>
      </c>
      <c r="J197" t="s">
        <v>25</v>
      </c>
      <c r="K197" t="s">
        <v>18</v>
      </c>
      <c r="L197" t="s">
        <v>19</v>
      </c>
      <c r="M197" t="s">
        <v>39</v>
      </c>
    </row>
    <row r="198" spans="1:13" x14ac:dyDescent="0.25">
      <c r="A198" t="s">
        <v>259</v>
      </c>
      <c r="B198" t="s">
        <v>78</v>
      </c>
      <c r="C198" s="1">
        <v>46007</v>
      </c>
      <c r="D198" s="1">
        <v>46037</v>
      </c>
      <c r="E198" s="1">
        <v>46081</v>
      </c>
      <c r="F198" t="s">
        <v>15</v>
      </c>
      <c r="G198" t="s">
        <v>69</v>
      </c>
      <c r="H198">
        <v>882.3</v>
      </c>
      <c r="I198">
        <v>364.62</v>
      </c>
      <c r="J198" t="s">
        <v>66</v>
      </c>
      <c r="K198" t="s">
        <v>26</v>
      </c>
      <c r="L198" t="s">
        <v>85</v>
      </c>
      <c r="M198" t="s">
        <v>46</v>
      </c>
    </row>
    <row r="199" spans="1:13" x14ac:dyDescent="0.25">
      <c r="A199" t="s">
        <v>260</v>
      </c>
      <c r="B199" t="s">
        <v>126</v>
      </c>
      <c r="C199" s="1">
        <v>46007</v>
      </c>
      <c r="D199" s="1">
        <v>46037</v>
      </c>
      <c r="F199" t="s">
        <v>23</v>
      </c>
      <c r="G199" t="s">
        <v>37</v>
      </c>
      <c r="H199">
        <v>6496.68</v>
      </c>
      <c r="I199">
        <v>0</v>
      </c>
      <c r="J199" t="s">
        <v>17</v>
      </c>
      <c r="K199" t="s">
        <v>26</v>
      </c>
      <c r="L199" t="s">
        <v>34</v>
      </c>
      <c r="M199" t="s">
        <v>32</v>
      </c>
    </row>
    <row r="200" spans="1:13" x14ac:dyDescent="0.25">
      <c r="A200" t="s">
        <v>261</v>
      </c>
      <c r="B200" t="s">
        <v>52</v>
      </c>
      <c r="C200" s="1">
        <v>46008</v>
      </c>
      <c r="D200" s="1">
        <v>46038</v>
      </c>
      <c r="E200" s="1">
        <v>46052</v>
      </c>
      <c r="F200" t="s">
        <v>59</v>
      </c>
      <c r="G200" t="s">
        <v>37</v>
      </c>
      <c r="H200">
        <v>1509.98</v>
      </c>
      <c r="I200">
        <v>1509.98</v>
      </c>
      <c r="J200" t="s">
        <v>25</v>
      </c>
      <c r="K200" t="s">
        <v>18</v>
      </c>
      <c r="L200" t="s">
        <v>19</v>
      </c>
      <c r="M200" t="s">
        <v>39</v>
      </c>
    </row>
    <row r="201" spans="1:13" x14ac:dyDescent="0.25">
      <c r="A201" t="s">
        <v>262</v>
      </c>
      <c r="B201" t="s">
        <v>126</v>
      </c>
      <c r="C201" s="1">
        <v>46009</v>
      </c>
      <c r="D201" s="1">
        <v>46039</v>
      </c>
      <c r="E201" s="1">
        <v>46059</v>
      </c>
      <c r="F201" t="s">
        <v>30</v>
      </c>
      <c r="G201" t="s">
        <v>37</v>
      </c>
      <c r="H201">
        <v>8943</v>
      </c>
      <c r="I201">
        <v>8943</v>
      </c>
      <c r="J201" t="s">
        <v>25</v>
      </c>
      <c r="K201" t="s">
        <v>18</v>
      </c>
      <c r="L201" t="s">
        <v>19</v>
      </c>
      <c r="M201" t="s">
        <v>42</v>
      </c>
    </row>
    <row r="202" spans="1:13" x14ac:dyDescent="0.25">
      <c r="A202" t="s">
        <v>263</v>
      </c>
      <c r="B202" t="s">
        <v>76</v>
      </c>
      <c r="C202" s="1">
        <v>46009</v>
      </c>
      <c r="D202" s="1">
        <v>46039</v>
      </c>
      <c r="E202" s="1">
        <v>46038</v>
      </c>
      <c r="F202" t="s">
        <v>59</v>
      </c>
      <c r="G202" t="s">
        <v>16</v>
      </c>
      <c r="H202">
        <v>1346.38</v>
      </c>
      <c r="I202">
        <v>1346.38</v>
      </c>
      <c r="J202" t="s">
        <v>25</v>
      </c>
      <c r="K202" t="s">
        <v>26</v>
      </c>
      <c r="L202" t="s">
        <v>38</v>
      </c>
      <c r="M202" t="s">
        <v>39</v>
      </c>
    </row>
    <row r="203" spans="1:13" x14ac:dyDescent="0.25">
      <c r="A203" t="s">
        <v>264</v>
      </c>
      <c r="B203" t="s">
        <v>68</v>
      </c>
      <c r="C203" s="1">
        <v>46010</v>
      </c>
      <c r="D203" s="1">
        <v>46040</v>
      </c>
      <c r="E203" s="1">
        <v>46025</v>
      </c>
      <c r="F203" t="s">
        <v>30</v>
      </c>
      <c r="G203" t="s">
        <v>31</v>
      </c>
      <c r="H203">
        <v>2261.88</v>
      </c>
      <c r="I203">
        <v>2261.88</v>
      </c>
      <c r="J203" t="s">
        <v>25</v>
      </c>
      <c r="K203" t="s">
        <v>26</v>
      </c>
      <c r="L203" t="s">
        <v>55</v>
      </c>
      <c r="M203" t="s">
        <v>20</v>
      </c>
    </row>
    <row r="204" spans="1:13" x14ac:dyDescent="0.25">
      <c r="A204" t="s">
        <v>265</v>
      </c>
      <c r="B204" t="s">
        <v>50</v>
      </c>
      <c r="C204" s="1">
        <v>46011</v>
      </c>
      <c r="D204" s="1">
        <v>46041</v>
      </c>
      <c r="E204" s="1">
        <v>46034</v>
      </c>
      <c r="F204" t="s">
        <v>45</v>
      </c>
      <c r="G204" t="s">
        <v>31</v>
      </c>
      <c r="H204">
        <v>1293.32</v>
      </c>
      <c r="I204">
        <v>1293.32</v>
      </c>
      <c r="J204" t="s">
        <v>25</v>
      </c>
      <c r="K204" t="s">
        <v>18</v>
      </c>
      <c r="L204" t="s">
        <v>19</v>
      </c>
      <c r="M204" t="s">
        <v>28</v>
      </c>
    </row>
    <row r="205" spans="1:13" x14ac:dyDescent="0.25">
      <c r="A205" t="s">
        <v>266</v>
      </c>
      <c r="B205" t="s">
        <v>14</v>
      </c>
      <c r="C205" s="1">
        <v>46011</v>
      </c>
      <c r="D205" s="1">
        <v>46041</v>
      </c>
      <c r="E205" s="1">
        <v>46055</v>
      </c>
      <c r="F205" t="s">
        <v>59</v>
      </c>
      <c r="G205" t="s">
        <v>24</v>
      </c>
      <c r="H205">
        <v>2243.7399999999998</v>
      </c>
      <c r="I205">
        <v>2243.7399999999998</v>
      </c>
      <c r="J205" t="s">
        <v>25</v>
      </c>
      <c r="K205" t="s">
        <v>18</v>
      </c>
      <c r="L205" t="s">
        <v>19</v>
      </c>
      <c r="M205" t="s">
        <v>32</v>
      </c>
    </row>
    <row r="206" spans="1:13" x14ac:dyDescent="0.25">
      <c r="A206" t="s">
        <v>267</v>
      </c>
      <c r="B206" t="s">
        <v>22</v>
      </c>
      <c r="C206" s="1">
        <v>46011</v>
      </c>
      <c r="D206" s="1">
        <v>46041</v>
      </c>
      <c r="E206" s="1">
        <v>46075</v>
      </c>
      <c r="F206" t="s">
        <v>30</v>
      </c>
      <c r="G206" t="s">
        <v>37</v>
      </c>
      <c r="H206">
        <v>7225.8</v>
      </c>
      <c r="I206">
        <v>6079.91</v>
      </c>
      <c r="J206" t="s">
        <v>66</v>
      </c>
      <c r="K206" t="s">
        <v>26</v>
      </c>
      <c r="L206" t="s">
        <v>34</v>
      </c>
      <c r="M206" t="s">
        <v>39</v>
      </c>
    </row>
    <row r="207" spans="1:13" x14ac:dyDescent="0.25">
      <c r="A207" t="s">
        <v>268</v>
      </c>
      <c r="B207" t="s">
        <v>78</v>
      </c>
      <c r="C207" s="1">
        <v>46012</v>
      </c>
      <c r="D207" s="1">
        <v>46042</v>
      </c>
      <c r="E207" s="1">
        <v>46039</v>
      </c>
      <c r="F207" t="s">
        <v>30</v>
      </c>
      <c r="G207" t="s">
        <v>53</v>
      </c>
      <c r="H207">
        <v>4387.51</v>
      </c>
      <c r="I207">
        <v>4387.51</v>
      </c>
      <c r="J207" t="s">
        <v>25</v>
      </c>
      <c r="K207" t="s">
        <v>18</v>
      </c>
      <c r="L207" t="s">
        <v>19</v>
      </c>
      <c r="M207" t="s">
        <v>32</v>
      </c>
    </row>
    <row r="208" spans="1:13" x14ac:dyDescent="0.25">
      <c r="A208" t="s">
        <v>269</v>
      </c>
      <c r="B208" t="s">
        <v>111</v>
      </c>
      <c r="C208" s="1">
        <v>46013</v>
      </c>
      <c r="D208" s="1">
        <v>46043</v>
      </c>
      <c r="E208" s="1">
        <v>46051</v>
      </c>
      <c r="F208" t="s">
        <v>15</v>
      </c>
      <c r="G208" t="s">
        <v>24</v>
      </c>
      <c r="H208">
        <v>3164.44</v>
      </c>
      <c r="I208">
        <v>3164.44</v>
      </c>
      <c r="J208" t="s">
        <v>25</v>
      </c>
      <c r="K208" t="s">
        <v>18</v>
      </c>
      <c r="L208" t="s">
        <v>19</v>
      </c>
      <c r="M208" t="s">
        <v>42</v>
      </c>
    </row>
    <row r="209" spans="1:13" x14ac:dyDescent="0.25">
      <c r="A209" t="s">
        <v>270</v>
      </c>
      <c r="B209" t="s">
        <v>48</v>
      </c>
      <c r="C209" s="1">
        <v>46015</v>
      </c>
      <c r="D209" s="1">
        <v>46045</v>
      </c>
      <c r="E209" s="1">
        <v>46052</v>
      </c>
      <c r="F209" t="s">
        <v>59</v>
      </c>
      <c r="G209" t="s">
        <v>53</v>
      </c>
      <c r="H209">
        <v>5392.91</v>
      </c>
      <c r="I209">
        <v>5392.91</v>
      </c>
      <c r="J209" t="s">
        <v>25</v>
      </c>
      <c r="K209" t="s">
        <v>18</v>
      </c>
      <c r="L209" t="s">
        <v>19</v>
      </c>
      <c r="M209" t="s">
        <v>20</v>
      </c>
    </row>
    <row r="210" spans="1:13" x14ac:dyDescent="0.25">
      <c r="A210" t="s">
        <v>271</v>
      </c>
      <c r="B210" t="s">
        <v>71</v>
      </c>
      <c r="C210" s="1">
        <v>46019</v>
      </c>
      <c r="D210" s="1">
        <v>46049</v>
      </c>
      <c r="E210" s="1">
        <v>46062</v>
      </c>
      <c r="F210" t="s">
        <v>45</v>
      </c>
      <c r="G210" t="s">
        <v>69</v>
      </c>
      <c r="H210">
        <v>690.46</v>
      </c>
      <c r="I210">
        <v>690.46</v>
      </c>
      <c r="J210" t="s">
        <v>25</v>
      </c>
      <c r="K210" t="s">
        <v>18</v>
      </c>
      <c r="L210" t="s">
        <v>19</v>
      </c>
      <c r="M210" t="s">
        <v>46</v>
      </c>
    </row>
    <row r="211" spans="1:13" x14ac:dyDescent="0.25">
      <c r="A211" t="s">
        <v>272</v>
      </c>
      <c r="B211" t="s">
        <v>58</v>
      </c>
      <c r="C211" s="1">
        <v>46020</v>
      </c>
      <c r="D211" s="1">
        <v>46050</v>
      </c>
      <c r="E211" s="1">
        <v>46035</v>
      </c>
      <c r="F211" t="s">
        <v>15</v>
      </c>
      <c r="G211" t="s">
        <v>53</v>
      </c>
      <c r="H211">
        <v>5542.88</v>
      </c>
      <c r="I211">
        <v>4187.75</v>
      </c>
      <c r="J211" t="s">
        <v>66</v>
      </c>
      <c r="K211" t="s">
        <v>18</v>
      </c>
      <c r="L211" t="s">
        <v>19</v>
      </c>
      <c r="M211" t="s">
        <v>32</v>
      </c>
    </row>
    <row r="212" spans="1:13" x14ac:dyDescent="0.25">
      <c r="A212" t="s">
        <v>273</v>
      </c>
      <c r="B212" t="s">
        <v>64</v>
      </c>
      <c r="C212" s="1">
        <v>46021</v>
      </c>
      <c r="D212" s="1">
        <v>46051</v>
      </c>
      <c r="E212" s="1">
        <v>46044</v>
      </c>
      <c r="F212" t="s">
        <v>23</v>
      </c>
      <c r="G212" t="s">
        <v>16</v>
      </c>
      <c r="H212">
        <v>1128.69</v>
      </c>
      <c r="I212">
        <v>735.98</v>
      </c>
      <c r="J212" t="s">
        <v>66</v>
      </c>
      <c r="K212" t="s">
        <v>18</v>
      </c>
      <c r="L212" t="s">
        <v>19</v>
      </c>
      <c r="M212" t="s">
        <v>39</v>
      </c>
    </row>
    <row r="213" spans="1:13" x14ac:dyDescent="0.25">
      <c r="A213" t="s">
        <v>274</v>
      </c>
      <c r="B213" t="s">
        <v>64</v>
      </c>
      <c r="C213" s="1">
        <v>46022</v>
      </c>
      <c r="D213" s="1">
        <v>46052</v>
      </c>
      <c r="E213" s="1">
        <v>46037</v>
      </c>
      <c r="F213" t="s">
        <v>23</v>
      </c>
      <c r="G213" t="s">
        <v>16</v>
      </c>
      <c r="H213">
        <v>2472.56</v>
      </c>
      <c r="I213">
        <v>2472.56</v>
      </c>
      <c r="J213" t="s">
        <v>25</v>
      </c>
      <c r="K213" t="s">
        <v>18</v>
      </c>
      <c r="L213" t="s">
        <v>19</v>
      </c>
      <c r="M213" t="s">
        <v>32</v>
      </c>
    </row>
    <row r="214" spans="1:13" x14ac:dyDescent="0.25">
      <c r="A214" t="s">
        <v>275</v>
      </c>
      <c r="B214" t="s">
        <v>68</v>
      </c>
      <c r="C214" s="1">
        <v>46022</v>
      </c>
      <c r="D214" s="1">
        <v>46052</v>
      </c>
      <c r="E214" s="1">
        <v>46055</v>
      </c>
      <c r="F214" t="s">
        <v>45</v>
      </c>
      <c r="G214" t="s">
        <v>16</v>
      </c>
      <c r="H214">
        <v>2022.39</v>
      </c>
      <c r="I214">
        <v>1380.97</v>
      </c>
      <c r="J214" t="s">
        <v>66</v>
      </c>
      <c r="K214" t="s">
        <v>18</v>
      </c>
      <c r="L214" t="s">
        <v>19</v>
      </c>
      <c r="M214" t="s">
        <v>28</v>
      </c>
    </row>
    <row r="215" spans="1:13" x14ac:dyDescent="0.25">
      <c r="A215" t="s">
        <v>276</v>
      </c>
      <c r="B215" t="s">
        <v>96</v>
      </c>
      <c r="C215" s="1">
        <v>46025</v>
      </c>
      <c r="D215" s="1">
        <v>46055</v>
      </c>
      <c r="E215" s="1">
        <v>46046</v>
      </c>
      <c r="F215" t="s">
        <v>23</v>
      </c>
      <c r="G215" t="s">
        <v>69</v>
      </c>
      <c r="H215">
        <v>2894.42</v>
      </c>
      <c r="I215">
        <v>2894.42</v>
      </c>
      <c r="J215" t="s">
        <v>25</v>
      </c>
      <c r="K215" t="s">
        <v>18</v>
      </c>
      <c r="L215" t="s">
        <v>19</v>
      </c>
      <c r="M215" t="s">
        <v>32</v>
      </c>
    </row>
    <row r="216" spans="1:13" x14ac:dyDescent="0.25">
      <c r="A216" t="s">
        <v>277</v>
      </c>
      <c r="B216" t="s">
        <v>78</v>
      </c>
      <c r="C216" s="1">
        <v>46026</v>
      </c>
      <c r="D216" s="1">
        <v>46056</v>
      </c>
      <c r="E216" s="1">
        <v>46072</v>
      </c>
      <c r="F216" t="s">
        <v>30</v>
      </c>
      <c r="G216" t="s">
        <v>69</v>
      </c>
      <c r="H216">
        <v>1109.67</v>
      </c>
      <c r="I216">
        <v>668.33</v>
      </c>
      <c r="J216" t="s">
        <v>66</v>
      </c>
      <c r="K216" t="s">
        <v>18</v>
      </c>
      <c r="L216" t="s">
        <v>19</v>
      </c>
      <c r="M216" t="s">
        <v>46</v>
      </c>
    </row>
    <row r="217" spans="1:13" x14ac:dyDescent="0.25">
      <c r="A217" t="s">
        <v>278</v>
      </c>
      <c r="B217" t="s">
        <v>111</v>
      </c>
      <c r="C217" s="1">
        <v>46027</v>
      </c>
      <c r="D217" s="1">
        <v>46057</v>
      </c>
      <c r="E217" s="1">
        <v>46035</v>
      </c>
      <c r="F217" t="s">
        <v>15</v>
      </c>
      <c r="G217" t="s">
        <v>69</v>
      </c>
      <c r="H217">
        <v>3188.46</v>
      </c>
      <c r="I217">
        <v>3188.46</v>
      </c>
      <c r="J217" t="s">
        <v>25</v>
      </c>
      <c r="K217" t="s">
        <v>26</v>
      </c>
      <c r="L217" t="s">
        <v>55</v>
      </c>
      <c r="M217" t="s">
        <v>20</v>
      </c>
    </row>
    <row r="218" spans="1:13" x14ac:dyDescent="0.25">
      <c r="A218" t="s">
        <v>279</v>
      </c>
      <c r="B218" t="s">
        <v>78</v>
      </c>
      <c r="C218" s="1">
        <v>46027</v>
      </c>
      <c r="D218" s="1">
        <v>46057</v>
      </c>
      <c r="F218" t="s">
        <v>59</v>
      </c>
      <c r="G218" t="s">
        <v>16</v>
      </c>
      <c r="H218">
        <v>1002.5</v>
      </c>
      <c r="I218">
        <v>0</v>
      </c>
      <c r="J218" t="s">
        <v>17</v>
      </c>
      <c r="K218" t="s">
        <v>26</v>
      </c>
      <c r="L218" t="s">
        <v>55</v>
      </c>
      <c r="M218" t="s">
        <v>28</v>
      </c>
    </row>
    <row r="219" spans="1:13" x14ac:dyDescent="0.25">
      <c r="A219" t="s">
        <v>280</v>
      </c>
      <c r="B219" t="s">
        <v>36</v>
      </c>
      <c r="C219" s="1">
        <v>46029</v>
      </c>
      <c r="D219" s="1">
        <v>46059</v>
      </c>
      <c r="E219" s="1">
        <v>46093</v>
      </c>
      <c r="F219" t="s">
        <v>23</v>
      </c>
      <c r="G219" t="s">
        <v>53</v>
      </c>
      <c r="H219">
        <v>2319.38</v>
      </c>
      <c r="I219">
        <v>1348.01</v>
      </c>
      <c r="J219" t="s">
        <v>66</v>
      </c>
      <c r="K219" t="s">
        <v>26</v>
      </c>
      <c r="L219" t="s">
        <v>34</v>
      </c>
      <c r="M219" t="s">
        <v>28</v>
      </c>
    </row>
    <row r="220" spans="1:13" x14ac:dyDescent="0.25">
      <c r="A220" t="s">
        <v>281</v>
      </c>
      <c r="B220" t="s">
        <v>118</v>
      </c>
      <c r="C220" s="1">
        <v>46029</v>
      </c>
      <c r="D220" s="1">
        <v>46059</v>
      </c>
      <c r="E220" s="1">
        <v>46056</v>
      </c>
      <c r="F220" t="s">
        <v>45</v>
      </c>
      <c r="G220" t="s">
        <v>53</v>
      </c>
      <c r="H220">
        <v>2808.85</v>
      </c>
      <c r="I220">
        <v>2808.85</v>
      </c>
      <c r="J220" t="s">
        <v>25</v>
      </c>
      <c r="K220" t="s">
        <v>18</v>
      </c>
      <c r="L220" t="s">
        <v>19</v>
      </c>
      <c r="M220" t="s">
        <v>32</v>
      </c>
    </row>
    <row r="221" spans="1:13" x14ac:dyDescent="0.25">
      <c r="A221" t="s">
        <v>282</v>
      </c>
      <c r="B221" t="s">
        <v>71</v>
      </c>
      <c r="C221" s="1">
        <v>46031</v>
      </c>
      <c r="D221" s="1">
        <v>46061</v>
      </c>
      <c r="E221" s="1">
        <v>46041</v>
      </c>
      <c r="F221" t="s">
        <v>15</v>
      </c>
      <c r="G221" t="s">
        <v>37</v>
      </c>
      <c r="H221">
        <v>4809.1499999999996</v>
      </c>
      <c r="I221">
        <v>4809.1499999999996</v>
      </c>
      <c r="J221" t="s">
        <v>25</v>
      </c>
      <c r="K221" t="s">
        <v>18</v>
      </c>
      <c r="L221" t="s">
        <v>19</v>
      </c>
      <c r="M221" t="s">
        <v>20</v>
      </c>
    </row>
    <row r="222" spans="1:13" x14ac:dyDescent="0.25">
      <c r="A222" t="s">
        <v>283</v>
      </c>
      <c r="B222" t="s">
        <v>48</v>
      </c>
      <c r="C222" s="1">
        <v>46037</v>
      </c>
      <c r="D222" s="1">
        <v>46067</v>
      </c>
      <c r="E222" s="1">
        <v>46089</v>
      </c>
      <c r="F222" t="s">
        <v>45</v>
      </c>
      <c r="G222" t="s">
        <v>69</v>
      </c>
      <c r="H222">
        <v>1227.8699999999999</v>
      </c>
      <c r="I222">
        <v>1227.8699999999999</v>
      </c>
      <c r="J222" t="s">
        <v>25</v>
      </c>
      <c r="K222" t="s">
        <v>18</v>
      </c>
      <c r="L222" t="s">
        <v>19</v>
      </c>
      <c r="M222" t="s">
        <v>32</v>
      </c>
    </row>
    <row r="223" spans="1:13" x14ac:dyDescent="0.25">
      <c r="A223" t="s">
        <v>284</v>
      </c>
      <c r="B223" t="s">
        <v>64</v>
      </c>
      <c r="C223" s="1">
        <v>46038</v>
      </c>
      <c r="D223" s="1">
        <v>46068</v>
      </c>
      <c r="E223" s="1">
        <v>46087</v>
      </c>
      <c r="F223" t="s">
        <v>23</v>
      </c>
      <c r="G223" t="s">
        <v>24</v>
      </c>
      <c r="H223">
        <v>908.94</v>
      </c>
      <c r="I223">
        <v>626.64</v>
      </c>
      <c r="J223" t="s">
        <v>66</v>
      </c>
      <c r="K223" t="s">
        <v>26</v>
      </c>
      <c r="L223" t="s">
        <v>55</v>
      </c>
      <c r="M223" t="s">
        <v>28</v>
      </c>
    </row>
    <row r="224" spans="1:13" x14ac:dyDescent="0.25">
      <c r="A224" t="s">
        <v>285</v>
      </c>
      <c r="B224" t="s">
        <v>48</v>
      </c>
      <c r="C224" s="1">
        <v>46038</v>
      </c>
      <c r="D224" s="1">
        <v>46068</v>
      </c>
      <c r="E224" s="1">
        <v>46089</v>
      </c>
      <c r="F224" t="s">
        <v>15</v>
      </c>
      <c r="G224" t="s">
        <v>16</v>
      </c>
      <c r="H224">
        <v>2404.63</v>
      </c>
      <c r="I224">
        <v>2404.63</v>
      </c>
      <c r="J224" t="s">
        <v>25</v>
      </c>
      <c r="K224" t="s">
        <v>18</v>
      </c>
      <c r="L224" t="s">
        <v>19</v>
      </c>
      <c r="M224" t="s">
        <v>28</v>
      </c>
    </row>
    <row r="225" spans="1:13" x14ac:dyDescent="0.25">
      <c r="A225" t="s">
        <v>286</v>
      </c>
      <c r="B225" t="s">
        <v>14</v>
      </c>
      <c r="C225" s="1">
        <v>46039</v>
      </c>
      <c r="D225" s="1">
        <v>46069</v>
      </c>
      <c r="E225" s="1">
        <v>46091</v>
      </c>
      <c r="F225" t="s">
        <v>15</v>
      </c>
      <c r="G225" t="s">
        <v>31</v>
      </c>
      <c r="H225">
        <v>3786.65</v>
      </c>
      <c r="I225">
        <v>3786.65</v>
      </c>
      <c r="J225" t="s">
        <v>25</v>
      </c>
      <c r="K225" t="s">
        <v>18</v>
      </c>
      <c r="L225" t="s">
        <v>19</v>
      </c>
      <c r="M225" t="s">
        <v>32</v>
      </c>
    </row>
    <row r="226" spans="1:13" x14ac:dyDescent="0.25">
      <c r="A226" t="s">
        <v>287</v>
      </c>
      <c r="B226" t="s">
        <v>48</v>
      </c>
      <c r="C226" s="1">
        <v>46040</v>
      </c>
      <c r="D226" s="1">
        <v>46070</v>
      </c>
      <c r="F226" t="s">
        <v>59</v>
      </c>
      <c r="G226" t="s">
        <v>53</v>
      </c>
      <c r="H226">
        <v>5955.52</v>
      </c>
      <c r="I226">
        <v>0</v>
      </c>
      <c r="J226" t="s">
        <v>17</v>
      </c>
      <c r="K226" t="s">
        <v>26</v>
      </c>
      <c r="L226" t="s">
        <v>93</v>
      </c>
      <c r="M226" t="s">
        <v>46</v>
      </c>
    </row>
    <row r="227" spans="1:13" x14ac:dyDescent="0.25">
      <c r="A227" t="s">
        <v>288</v>
      </c>
      <c r="B227" t="s">
        <v>111</v>
      </c>
      <c r="C227" s="1">
        <v>46042</v>
      </c>
      <c r="D227" s="1">
        <v>46072</v>
      </c>
      <c r="E227" s="1">
        <v>46060</v>
      </c>
      <c r="F227" t="s">
        <v>45</v>
      </c>
      <c r="G227" t="s">
        <v>69</v>
      </c>
      <c r="H227">
        <v>1478.68</v>
      </c>
      <c r="I227">
        <v>1478.68</v>
      </c>
      <c r="J227" t="s">
        <v>25</v>
      </c>
      <c r="K227" t="s">
        <v>18</v>
      </c>
      <c r="L227" t="s">
        <v>19</v>
      </c>
      <c r="M227" t="s">
        <v>20</v>
      </c>
    </row>
    <row r="228" spans="1:13" x14ac:dyDescent="0.25">
      <c r="A228" t="s">
        <v>289</v>
      </c>
      <c r="B228" t="s">
        <v>99</v>
      </c>
      <c r="C228" s="1">
        <v>46042</v>
      </c>
      <c r="D228" s="1">
        <v>46072</v>
      </c>
      <c r="E228" s="1">
        <v>46091</v>
      </c>
      <c r="F228" t="s">
        <v>15</v>
      </c>
      <c r="G228" t="s">
        <v>16</v>
      </c>
      <c r="H228">
        <v>1675.05</v>
      </c>
      <c r="I228">
        <v>1675.05</v>
      </c>
      <c r="J228" t="s">
        <v>25</v>
      </c>
      <c r="K228" t="s">
        <v>18</v>
      </c>
      <c r="L228" t="s">
        <v>19</v>
      </c>
      <c r="M228" t="s">
        <v>32</v>
      </c>
    </row>
    <row r="229" spans="1:13" x14ac:dyDescent="0.25">
      <c r="A229" t="s">
        <v>290</v>
      </c>
      <c r="B229" t="s">
        <v>81</v>
      </c>
      <c r="C229" s="1">
        <v>46047</v>
      </c>
      <c r="D229" s="1">
        <v>46077</v>
      </c>
      <c r="E229" s="1">
        <v>46096</v>
      </c>
      <c r="F229" t="s">
        <v>59</v>
      </c>
      <c r="G229" t="s">
        <v>53</v>
      </c>
      <c r="H229">
        <v>1854.4</v>
      </c>
      <c r="I229">
        <v>1854.4</v>
      </c>
      <c r="J229" t="s">
        <v>25</v>
      </c>
      <c r="K229" t="s">
        <v>18</v>
      </c>
      <c r="L229" t="s">
        <v>19</v>
      </c>
      <c r="M229" t="s">
        <v>46</v>
      </c>
    </row>
    <row r="230" spans="1:13" x14ac:dyDescent="0.25">
      <c r="A230" t="s">
        <v>291</v>
      </c>
      <c r="B230" t="s">
        <v>36</v>
      </c>
      <c r="C230" s="1">
        <v>46048</v>
      </c>
      <c r="D230" s="1">
        <v>46078</v>
      </c>
      <c r="E230" s="1">
        <v>46073</v>
      </c>
      <c r="F230" t="s">
        <v>59</v>
      </c>
      <c r="G230" t="s">
        <v>16</v>
      </c>
      <c r="H230">
        <v>2196.6999999999998</v>
      </c>
      <c r="I230">
        <v>2196.6999999999998</v>
      </c>
      <c r="J230" t="s">
        <v>25</v>
      </c>
      <c r="K230" t="s">
        <v>18</v>
      </c>
      <c r="L230" t="s">
        <v>19</v>
      </c>
      <c r="M230" t="s">
        <v>42</v>
      </c>
    </row>
    <row r="231" spans="1:13" x14ac:dyDescent="0.25">
      <c r="A231" t="s">
        <v>292</v>
      </c>
      <c r="B231" t="s">
        <v>99</v>
      </c>
      <c r="C231" s="1">
        <v>46049</v>
      </c>
      <c r="D231" s="1">
        <v>46079</v>
      </c>
      <c r="E231" s="1">
        <v>46067</v>
      </c>
      <c r="F231" t="s">
        <v>15</v>
      </c>
      <c r="G231" t="s">
        <v>31</v>
      </c>
      <c r="H231">
        <v>2296.84</v>
      </c>
      <c r="I231">
        <v>2296.84</v>
      </c>
      <c r="J231" t="s">
        <v>25</v>
      </c>
      <c r="K231" t="s">
        <v>18</v>
      </c>
      <c r="L231" t="s">
        <v>19</v>
      </c>
      <c r="M231" t="s">
        <v>32</v>
      </c>
    </row>
    <row r="232" spans="1:13" x14ac:dyDescent="0.25">
      <c r="A232" t="s">
        <v>293</v>
      </c>
      <c r="B232" t="s">
        <v>22</v>
      </c>
      <c r="C232" s="1">
        <v>46049</v>
      </c>
      <c r="D232" s="1">
        <v>46079</v>
      </c>
      <c r="F232" t="s">
        <v>23</v>
      </c>
      <c r="G232" t="s">
        <v>24</v>
      </c>
      <c r="H232">
        <v>4697.4399999999996</v>
      </c>
      <c r="I232">
        <v>0</v>
      </c>
      <c r="J232" t="s">
        <v>17</v>
      </c>
      <c r="K232" t="s">
        <v>26</v>
      </c>
      <c r="L232" t="s">
        <v>34</v>
      </c>
      <c r="M232" t="s">
        <v>46</v>
      </c>
    </row>
    <row r="233" spans="1:13" x14ac:dyDescent="0.25">
      <c r="A233" t="s">
        <v>294</v>
      </c>
      <c r="B233" t="s">
        <v>50</v>
      </c>
      <c r="C233" s="1">
        <v>46049</v>
      </c>
      <c r="D233" s="1">
        <v>46079</v>
      </c>
      <c r="E233" s="1">
        <v>46064</v>
      </c>
      <c r="F233" t="s">
        <v>45</v>
      </c>
      <c r="G233" t="s">
        <v>69</v>
      </c>
      <c r="H233">
        <v>540.58000000000004</v>
      </c>
      <c r="I233">
        <v>540.58000000000004</v>
      </c>
      <c r="J233" t="s">
        <v>25</v>
      </c>
      <c r="K233" t="s">
        <v>18</v>
      </c>
      <c r="L233" t="s">
        <v>19</v>
      </c>
      <c r="M233" t="s">
        <v>32</v>
      </c>
    </row>
    <row r="234" spans="1:13" x14ac:dyDescent="0.25">
      <c r="A234" t="s">
        <v>295</v>
      </c>
      <c r="B234" t="s">
        <v>48</v>
      </c>
      <c r="C234" s="1">
        <v>46050</v>
      </c>
      <c r="D234" s="1">
        <v>46080</v>
      </c>
      <c r="E234" s="1">
        <v>46099</v>
      </c>
      <c r="F234" t="s">
        <v>59</v>
      </c>
      <c r="G234" t="s">
        <v>16</v>
      </c>
      <c r="H234">
        <v>927.91</v>
      </c>
      <c r="I234">
        <v>927.91</v>
      </c>
      <c r="J234" t="s">
        <v>25</v>
      </c>
      <c r="K234" t="s">
        <v>18</v>
      </c>
      <c r="L234" t="s">
        <v>19</v>
      </c>
      <c r="M234" t="s">
        <v>42</v>
      </c>
    </row>
    <row r="235" spans="1:13" x14ac:dyDescent="0.25">
      <c r="A235" t="s">
        <v>296</v>
      </c>
      <c r="B235" t="s">
        <v>99</v>
      </c>
      <c r="C235" s="1">
        <v>46052</v>
      </c>
      <c r="D235" s="1">
        <v>46082</v>
      </c>
      <c r="E235" s="1">
        <v>46095</v>
      </c>
      <c r="F235" t="s">
        <v>45</v>
      </c>
      <c r="G235" t="s">
        <v>31</v>
      </c>
      <c r="H235">
        <v>2335.41</v>
      </c>
      <c r="I235">
        <v>2335.41</v>
      </c>
      <c r="J235" t="s">
        <v>25</v>
      </c>
      <c r="K235" t="s">
        <v>18</v>
      </c>
      <c r="L235" t="s">
        <v>19</v>
      </c>
      <c r="M235" t="s">
        <v>28</v>
      </c>
    </row>
    <row r="236" spans="1:13" x14ac:dyDescent="0.25">
      <c r="A236" t="s">
        <v>297</v>
      </c>
      <c r="B236" t="s">
        <v>111</v>
      </c>
      <c r="C236" s="1">
        <v>46052</v>
      </c>
      <c r="D236" s="1">
        <v>46082</v>
      </c>
      <c r="F236" t="s">
        <v>23</v>
      </c>
      <c r="G236" t="s">
        <v>31</v>
      </c>
      <c r="H236">
        <v>2132.46</v>
      </c>
      <c r="I236">
        <v>0</v>
      </c>
      <c r="J236" t="s">
        <v>17</v>
      </c>
      <c r="K236" t="s">
        <v>26</v>
      </c>
      <c r="L236" t="s">
        <v>27</v>
      </c>
      <c r="M236" t="s">
        <v>39</v>
      </c>
    </row>
    <row r="237" spans="1:13" x14ac:dyDescent="0.25">
      <c r="A237" t="s">
        <v>298</v>
      </c>
      <c r="B237" t="s">
        <v>52</v>
      </c>
      <c r="C237" s="1">
        <v>46052</v>
      </c>
      <c r="D237" s="1">
        <v>46082</v>
      </c>
      <c r="F237" t="s">
        <v>15</v>
      </c>
      <c r="G237" t="s">
        <v>24</v>
      </c>
      <c r="H237">
        <v>2979.37</v>
      </c>
      <c r="I237">
        <v>0</v>
      </c>
      <c r="J237" t="s">
        <v>17</v>
      </c>
      <c r="K237" t="s">
        <v>26</v>
      </c>
      <c r="L237" t="s">
        <v>55</v>
      </c>
      <c r="M237" t="s">
        <v>32</v>
      </c>
    </row>
    <row r="238" spans="1:13" x14ac:dyDescent="0.25">
      <c r="A238" t="s">
        <v>299</v>
      </c>
      <c r="B238" t="s">
        <v>64</v>
      </c>
      <c r="C238" s="1">
        <v>46053</v>
      </c>
      <c r="D238" s="1">
        <v>46083</v>
      </c>
      <c r="E238" s="1">
        <v>46078</v>
      </c>
      <c r="F238" t="s">
        <v>45</v>
      </c>
      <c r="G238" t="s">
        <v>53</v>
      </c>
      <c r="H238">
        <v>3320.82</v>
      </c>
      <c r="I238">
        <v>3320.82</v>
      </c>
      <c r="J238" t="s">
        <v>25</v>
      </c>
      <c r="K238" t="s">
        <v>18</v>
      </c>
      <c r="L238" t="s">
        <v>19</v>
      </c>
      <c r="M238" t="s">
        <v>46</v>
      </c>
    </row>
    <row r="239" spans="1:13" x14ac:dyDescent="0.25">
      <c r="A239" t="s">
        <v>300</v>
      </c>
      <c r="B239" t="s">
        <v>58</v>
      </c>
      <c r="C239" s="1">
        <v>46054</v>
      </c>
      <c r="D239" s="1">
        <v>46084</v>
      </c>
      <c r="E239" s="1">
        <v>46077</v>
      </c>
      <c r="F239" t="s">
        <v>23</v>
      </c>
      <c r="G239" t="s">
        <v>16</v>
      </c>
      <c r="H239">
        <v>1760.48</v>
      </c>
      <c r="I239">
        <v>1760.48</v>
      </c>
      <c r="J239" t="s">
        <v>25</v>
      </c>
      <c r="K239" t="s">
        <v>18</v>
      </c>
      <c r="L239" t="s">
        <v>19</v>
      </c>
      <c r="M239" t="s">
        <v>39</v>
      </c>
    </row>
    <row r="240" spans="1:13" x14ac:dyDescent="0.25">
      <c r="A240" t="s">
        <v>301</v>
      </c>
      <c r="B240" t="s">
        <v>36</v>
      </c>
      <c r="C240" s="1">
        <v>46055</v>
      </c>
      <c r="D240" s="1">
        <v>46085</v>
      </c>
      <c r="F240" t="s">
        <v>59</v>
      </c>
      <c r="G240" t="s">
        <v>16</v>
      </c>
      <c r="H240">
        <v>2181.6999999999998</v>
      </c>
      <c r="I240">
        <v>0</v>
      </c>
      <c r="J240" t="s">
        <v>17</v>
      </c>
      <c r="K240" t="s">
        <v>26</v>
      </c>
      <c r="L240" t="s">
        <v>55</v>
      </c>
      <c r="M240" t="s">
        <v>46</v>
      </c>
    </row>
    <row r="241" spans="1:13" x14ac:dyDescent="0.25">
      <c r="A241" t="s">
        <v>302</v>
      </c>
      <c r="B241" t="s">
        <v>36</v>
      </c>
      <c r="C241" s="1">
        <v>46055</v>
      </c>
      <c r="D241" s="1">
        <v>46085</v>
      </c>
      <c r="E241" s="1">
        <v>46107</v>
      </c>
      <c r="F241" t="s">
        <v>30</v>
      </c>
      <c r="G241" t="s">
        <v>37</v>
      </c>
      <c r="H241">
        <v>5858.52</v>
      </c>
      <c r="I241">
        <v>5858.52</v>
      </c>
      <c r="J241" t="s">
        <v>25</v>
      </c>
      <c r="K241" t="s">
        <v>18</v>
      </c>
      <c r="L241" t="s">
        <v>19</v>
      </c>
      <c r="M241" t="s">
        <v>32</v>
      </c>
    </row>
    <row r="242" spans="1:13" x14ac:dyDescent="0.25">
      <c r="A242" t="s">
        <v>303</v>
      </c>
      <c r="B242" t="s">
        <v>50</v>
      </c>
      <c r="C242" s="1">
        <v>46056</v>
      </c>
      <c r="D242" s="1">
        <v>46086</v>
      </c>
      <c r="E242" s="1">
        <v>46099</v>
      </c>
      <c r="F242" t="s">
        <v>15</v>
      </c>
      <c r="G242" t="s">
        <v>16</v>
      </c>
      <c r="H242">
        <v>1517.64</v>
      </c>
      <c r="I242">
        <v>1517.64</v>
      </c>
      <c r="J242" t="s">
        <v>25</v>
      </c>
      <c r="K242" t="s">
        <v>18</v>
      </c>
      <c r="L242" t="s">
        <v>19</v>
      </c>
      <c r="M242" t="s">
        <v>20</v>
      </c>
    </row>
    <row r="243" spans="1:13" x14ac:dyDescent="0.25">
      <c r="A243" t="s">
        <v>304</v>
      </c>
      <c r="B243" t="s">
        <v>44</v>
      </c>
      <c r="C243" s="1">
        <v>46057</v>
      </c>
      <c r="D243" s="1">
        <v>46087</v>
      </c>
      <c r="F243" t="s">
        <v>59</v>
      </c>
      <c r="G243" t="s">
        <v>53</v>
      </c>
      <c r="H243">
        <v>6234.12</v>
      </c>
      <c r="I243">
        <v>0</v>
      </c>
      <c r="J243" t="s">
        <v>17</v>
      </c>
      <c r="K243" t="s">
        <v>26</v>
      </c>
      <c r="L243" t="s">
        <v>55</v>
      </c>
      <c r="M243" t="s">
        <v>28</v>
      </c>
    </row>
    <row r="244" spans="1:13" x14ac:dyDescent="0.25">
      <c r="A244" t="s">
        <v>305</v>
      </c>
      <c r="B244" t="s">
        <v>78</v>
      </c>
      <c r="C244" s="1">
        <v>46058</v>
      </c>
      <c r="D244" s="1">
        <v>46088</v>
      </c>
      <c r="E244" s="1">
        <v>46076</v>
      </c>
      <c r="F244" t="s">
        <v>30</v>
      </c>
      <c r="G244" t="s">
        <v>24</v>
      </c>
      <c r="H244">
        <v>3614.98</v>
      </c>
      <c r="I244">
        <v>3614.98</v>
      </c>
      <c r="J244" t="s">
        <v>25</v>
      </c>
      <c r="K244" t="s">
        <v>18</v>
      </c>
      <c r="L244" t="s">
        <v>19</v>
      </c>
      <c r="M244" t="s">
        <v>46</v>
      </c>
    </row>
    <row r="245" spans="1:13" x14ac:dyDescent="0.25">
      <c r="A245" t="s">
        <v>306</v>
      </c>
      <c r="B245" t="s">
        <v>78</v>
      </c>
      <c r="C245" s="1">
        <v>46059</v>
      </c>
      <c r="D245" s="1">
        <v>46089</v>
      </c>
      <c r="F245" t="s">
        <v>45</v>
      </c>
      <c r="G245" t="s">
        <v>24</v>
      </c>
      <c r="H245">
        <v>5154.68</v>
      </c>
      <c r="I245">
        <v>0</v>
      </c>
      <c r="J245" t="s">
        <v>17</v>
      </c>
      <c r="K245" t="s">
        <v>18</v>
      </c>
      <c r="L245" t="s">
        <v>19</v>
      </c>
      <c r="M245" t="s">
        <v>32</v>
      </c>
    </row>
    <row r="246" spans="1:13" x14ac:dyDescent="0.25">
      <c r="A246" t="s">
        <v>307</v>
      </c>
      <c r="B246" t="s">
        <v>126</v>
      </c>
      <c r="C246" s="1">
        <v>46063</v>
      </c>
      <c r="D246" s="1">
        <v>46093</v>
      </c>
      <c r="E246" s="1">
        <v>46084</v>
      </c>
      <c r="F246" t="s">
        <v>59</v>
      </c>
      <c r="G246" t="s">
        <v>37</v>
      </c>
      <c r="H246">
        <v>3547.41</v>
      </c>
      <c r="I246">
        <v>3547.41</v>
      </c>
      <c r="J246" t="s">
        <v>25</v>
      </c>
      <c r="K246" t="s">
        <v>26</v>
      </c>
      <c r="L246" t="s">
        <v>27</v>
      </c>
      <c r="M246" t="s">
        <v>39</v>
      </c>
    </row>
    <row r="247" spans="1:13" x14ac:dyDescent="0.25">
      <c r="A247" t="s">
        <v>308</v>
      </c>
      <c r="B247" t="s">
        <v>50</v>
      </c>
      <c r="C247" s="1">
        <v>46063</v>
      </c>
      <c r="D247" s="1">
        <v>46093</v>
      </c>
      <c r="E247" s="1">
        <v>46111</v>
      </c>
      <c r="F247" t="s">
        <v>15</v>
      </c>
      <c r="G247" t="s">
        <v>53</v>
      </c>
      <c r="H247">
        <v>3980.45</v>
      </c>
      <c r="I247">
        <v>3980.45</v>
      </c>
      <c r="J247" t="s">
        <v>25</v>
      </c>
      <c r="K247" t="s">
        <v>18</v>
      </c>
      <c r="L247" t="s">
        <v>19</v>
      </c>
      <c r="M247" t="s">
        <v>46</v>
      </c>
    </row>
    <row r="248" spans="1:13" x14ac:dyDescent="0.25">
      <c r="A248" t="s">
        <v>309</v>
      </c>
      <c r="B248" t="s">
        <v>41</v>
      </c>
      <c r="C248" s="1">
        <v>46066</v>
      </c>
      <c r="D248" s="1">
        <v>46096</v>
      </c>
      <c r="F248" t="s">
        <v>59</v>
      </c>
      <c r="G248" t="s">
        <v>53</v>
      </c>
      <c r="H248">
        <v>1368.57</v>
      </c>
      <c r="I248">
        <v>0</v>
      </c>
      <c r="J248" t="s">
        <v>17</v>
      </c>
      <c r="K248" t="s">
        <v>26</v>
      </c>
      <c r="L248" t="s">
        <v>93</v>
      </c>
      <c r="M248" t="s">
        <v>32</v>
      </c>
    </row>
    <row r="249" spans="1:13" x14ac:dyDescent="0.25">
      <c r="A249" t="s">
        <v>310</v>
      </c>
      <c r="B249" t="s">
        <v>71</v>
      </c>
      <c r="C249" s="1">
        <v>46068</v>
      </c>
      <c r="D249" s="1">
        <v>46098</v>
      </c>
      <c r="E249" s="1">
        <v>46114</v>
      </c>
      <c r="F249" t="s">
        <v>59</v>
      </c>
      <c r="G249" t="s">
        <v>16</v>
      </c>
      <c r="H249">
        <v>1597.54</v>
      </c>
      <c r="I249">
        <v>921.36</v>
      </c>
      <c r="J249" t="s">
        <v>66</v>
      </c>
      <c r="K249" t="s">
        <v>26</v>
      </c>
      <c r="L249" t="s">
        <v>85</v>
      </c>
      <c r="M249" t="s">
        <v>28</v>
      </c>
    </row>
    <row r="250" spans="1:13" x14ac:dyDescent="0.25">
      <c r="A250" t="s">
        <v>311</v>
      </c>
      <c r="B250" t="s">
        <v>76</v>
      </c>
      <c r="C250" s="1">
        <v>46069</v>
      </c>
      <c r="D250" s="1">
        <v>46099</v>
      </c>
      <c r="E250" s="1">
        <v>46106</v>
      </c>
      <c r="F250" t="s">
        <v>15</v>
      </c>
      <c r="G250" t="s">
        <v>31</v>
      </c>
      <c r="H250">
        <v>630.55999999999995</v>
      </c>
      <c r="I250">
        <v>630.55999999999995</v>
      </c>
      <c r="J250" t="s">
        <v>25</v>
      </c>
      <c r="K250" t="s">
        <v>18</v>
      </c>
      <c r="L250" t="s">
        <v>19</v>
      </c>
      <c r="M250" t="s">
        <v>42</v>
      </c>
    </row>
    <row r="251" spans="1:13" x14ac:dyDescent="0.25">
      <c r="A251" t="s">
        <v>312</v>
      </c>
      <c r="B251" t="s">
        <v>44</v>
      </c>
      <c r="C251" s="1">
        <v>46070</v>
      </c>
      <c r="D251" s="1">
        <v>46100</v>
      </c>
      <c r="E251" s="1">
        <v>46111</v>
      </c>
      <c r="F251" t="s">
        <v>59</v>
      </c>
      <c r="G251" t="s">
        <v>53</v>
      </c>
      <c r="H251">
        <v>6117.95</v>
      </c>
      <c r="I251">
        <v>6117.95</v>
      </c>
      <c r="J251" t="s">
        <v>25</v>
      </c>
      <c r="K251" t="s">
        <v>18</v>
      </c>
      <c r="L251" t="s">
        <v>19</v>
      </c>
      <c r="M251" t="s">
        <v>32</v>
      </c>
    </row>
    <row r="252" spans="1:13" x14ac:dyDescent="0.25">
      <c r="A252" t="s">
        <v>313</v>
      </c>
      <c r="B252" t="s">
        <v>111</v>
      </c>
      <c r="C252" s="1">
        <v>46070</v>
      </c>
      <c r="D252" s="1">
        <v>46100</v>
      </c>
      <c r="E252" s="1">
        <v>46093</v>
      </c>
      <c r="F252" t="s">
        <v>30</v>
      </c>
      <c r="G252" t="s">
        <v>31</v>
      </c>
      <c r="H252">
        <v>1296.8699999999999</v>
      </c>
      <c r="I252">
        <v>1296.8699999999999</v>
      </c>
      <c r="J252" t="s">
        <v>25</v>
      </c>
      <c r="K252" t="s">
        <v>18</v>
      </c>
      <c r="L252" t="s">
        <v>19</v>
      </c>
      <c r="M252" t="s">
        <v>42</v>
      </c>
    </row>
    <row r="253" spans="1:13" x14ac:dyDescent="0.25">
      <c r="A253" t="s">
        <v>314</v>
      </c>
      <c r="B253" t="s">
        <v>76</v>
      </c>
      <c r="C253" s="1">
        <v>46070</v>
      </c>
      <c r="D253" s="1">
        <v>46100</v>
      </c>
      <c r="E253" s="1">
        <v>46111</v>
      </c>
      <c r="F253" t="s">
        <v>30</v>
      </c>
      <c r="G253" t="s">
        <v>69</v>
      </c>
      <c r="H253">
        <v>3017.9</v>
      </c>
      <c r="I253">
        <v>3017.9</v>
      </c>
      <c r="J253" t="s">
        <v>25</v>
      </c>
      <c r="K253" t="s">
        <v>18</v>
      </c>
      <c r="L253" t="s">
        <v>19</v>
      </c>
      <c r="M253" t="s">
        <v>20</v>
      </c>
    </row>
    <row r="254" spans="1:13" x14ac:dyDescent="0.25">
      <c r="A254" t="s">
        <v>315</v>
      </c>
      <c r="B254" t="s">
        <v>48</v>
      </c>
      <c r="C254" s="1">
        <v>46071</v>
      </c>
      <c r="D254" s="1">
        <v>46101</v>
      </c>
      <c r="E254" s="1">
        <v>46106</v>
      </c>
      <c r="F254" t="s">
        <v>45</v>
      </c>
      <c r="G254" t="s">
        <v>16</v>
      </c>
      <c r="H254">
        <v>886.79</v>
      </c>
      <c r="I254">
        <v>886.79</v>
      </c>
      <c r="J254" t="s">
        <v>25</v>
      </c>
      <c r="K254" t="s">
        <v>18</v>
      </c>
      <c r="L254" t="s">
        <v>19</v>
      </c>
      <c r="M254" t="s">
        <v>39</v>
      </c>
    </row>
    <row r="255" spans="1:13" x14ac:dyDescent="0.25">
      <c r="A255" t="s">
        <v>316</v>
      </c>
      <c r="B255" t="s">
        <v>126</v>
      </c>
      <c r="C255" s="1">
        <v>46072</v>
      </c>
      <c r="D255" s="1">
        <v>46102</v>
      </c>
      <c r="E255" s="1">
        <v>46106</v>
      </c>
      <c r="F255" t="s">
        <v>59</v>
      </c>
      <c r="G255" t="s">
        <v>24</v>
      </c>
      <c r="H255">
        <v>1040.4100000000001</v>
      </c>
      <c r="I255">
        <v>1040.4100000000001</v>
      </c>
      <c r="J255" t="s">
        <v>25</v>
      </c>
      <c r="K255" t="s">
        <v>18</v>
      </c>
      <c r="L255" t="s">
        <v>19</v>
      </c>
      <c r="M255" t="s">
        <v>32</v>
      </c>
    </row>
    <row r="256" spans="1:13" x14ac:dyDescent="0.25">
      <c r="A256" t="s">
        <v>317</v>
      </c>
      <c r="B256" t="s">
        <v>52</v>
      </c>
      <c r="C256" s="1">
        <v>46073</v>
      </c>
      <c r="D256" s="1">
        <v>46103</v>
      </c>
      <c r="E256" s="1">
        <v>46132</v>
      </c>
      <c r="F256" t="s">
        <v>30</v>
      </c>
      <c r="G256" t="s">
        <v>24</v>
      </c>
      <c r="H256">
        <v>4969.3</v>
      </c>
      <c r="I256">
        <v>1364.78</v>
      </c>
      <c r="J256" t="s">
        <v>66</v>
      </c>
      <c r="K256" t="s">
        <v>18</v>
      </c>
      <c r="L256" t="s">
        <v>19</v>
      </c>
      <c r="M256" t="s">
        <v>39</v>
      </c>
    </row>
    <row r="257" spans="1:13" x14ac:dyDescent="0.25">
      <c r="A257" t="s">
        <v>318</v>
      </c>
      <c r="B257" t="s">
        <v>48</v>
      </c>
      <c r="C257" s="1">
        <v>46073</v>
      </c>
      <c r="D257" s="1">
        <v>46103</v>
      </c>
      <c r="E257" s="1">
        <v>46094</v>
      </c>
      <c r="F257" t="s">
        <v>59</v>
      </c>
      <c r="G257" t="s">
        <v>24</v>
      </c>
      <c r="H257">
        <v>3077.59</v>
      </c>
      <c r="I257">
        <v>3077.59</v>
      </c>
      <c r="J257" t="s">
        <v>25</v>
      </c>
      <c r="K257" t="s">
        <v>26</v>
      </c>
      <c r="L257" t="s">
        <v>27</v>
      </c>
      <c r="M257" t="s">
        <v>20</v>
      </c>
    </row>
    <row r="258" spans="1:13" x14ac:dyDescent="0.25">
      <c r="A258" t="s">
        <v>319</v>
      </c>
      <c r="B258" t="s">
        <v>99</v>
      </c>
      <c r="C258" s="1">
        <v>46074</v>
      </c>
      <c r="D258" s="1">
        <v>46104</v>
      </c>
      <c r="E258" s="1">
        <v>46135</v>
      </c>
      <c r="F258" t="s">
        <v>59</v>
      </c>
      <c r="G258" t="s">
        <v>37</v>
      </c>
      <c r="H258">
        <v>3021.79</v>
      </c>
      <c r="I258">
        <v>2034.08</v>
      </c>
      <c r="J258" t="s">
        <v>66</v>
      </c>
      <c r="K258" t="s">
        <v>26</v>
      </c>
      <c r="L258" t="s">
        <v>38</v>
      </c>
      <c r="M258" t="s">
        <v>20</v>
      </c>
    </row>
    <row r="259" spans="1:13" x14ac:dyDescent="0.25">
      <c r="A259" t="s">
        <v>320</v>
      </c>
      <c r="B259" t="s">
        <v>50</v>
      </c>
      <c r="C259" s="1">
        <v>46077</v>
      </c>
      <c r="D259" s="1">
        <v>46107</v>
      </c>
      <c r="E259" s="1">
        <v>46131</v>
      </c>
      <c r="F259" t="s">
        <v>59</v>
      </c>
      <c r="G259" t="s">
        <v>24</v>
      </c>
      <c r="H259">
        <v>3291.72</v>
      </c>
      <c r="I259">
        <v>3291.72</v>
      </c>
      <c r="J259" t="s">
        <v>25</v>
      </c>
      <c r="K259" t="s">
        <v>18</v>
      </c>
      <c r="L259" t="s">
        <v>19</v>
      </c>
      <c r="M259" t="s">
        <v>28</v>
      </c>
    </row>
    <row r="260" spans="1:13" x14ac:dyDescent="0.25">
      <c r="A260" t="s">
        <v>321</v>
      </c>
      <c r="B260" t="s">
        <v>14</v>
      </c>
      <c r="C260" s="1">
        <v>46077</v>
      </c>
      <c r="D260" s="1">
        <v>46107</v>
      </c>
      <c r="E260" s="1">
        <v>46110</v>
      </c>
      <c r="F260" t="s">
        <v>30</v>
      </c>
      <c r="G260" t="s">
        <v>69</v>
      </c>
      <c r="H260">
        <v>747.85</v>
      </c>
      <c r="I260">
        <v>277.67</v>
      </c>
      <c r="J260" t="s">
        <v>66</v>
      </c>
      <c r="K260" t="s">
        <v>18</v>
      </c>
      <c r="L260" t="s">
        <v>19</v>
      </c>
      <c r="M260" t="s">
        <v>39</v>
      </c>
    </row>
    <row r="261" spans="1:13" x14ac:dyDescent="0.25">
      <c r="A261" t="s">
        <v>322</v>
      </c>
      <c r="B261" t="s">
        <v>76</v>
      </c>
      <c r="C261" s="1">
        <v>46079</v>
      </c>
      <c r="D261" s="1">
        <v>46109</v>
      </c>
      <c r="F261" t="s">
        <v>59</v>
      </c>
      <c r="G261" t="s">
        <v>31</v>
      </c>
      <c r="H261">
        <v>3435.18</v>
      </c>
      <c r="I261">
        <v>0</v>
      </c>
      <c r="J261" t="s">
        <v>17</v>
      </c>
      <c r="K261" t="s">
        <v>26</v>
      </c>
      <c r="L261" t="s">
        <v>38</v>
      </c>
      <c r="M26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D457-5119-47A3-903B-87DAAC662D0E}">
  <dimension ref="A1:S261"/>
  <sheetViews>
    <sheetView topLeftCell="A26" workbookViewId="0">
      <selection activeCell="E22" sqref="E22"/>
    </sheetView>
  </sheetViews>
  <sheetFormatPr defaultRowHeight="15" x14ac:dyDescent="0.25"/>
  <cols>
    <col min="1" max="1" width="12.5703125" customWidth="1"/>
    <col min="2" max="2" width="18.28515625" customWidth="1"/>
    <col min="3" max="3" width="14.85546875" customWidth="1"/>
    <col min="4" max="4" width="12" customWidth="1"/>
    <col min="5" max="5" width="16.140625" customWidth="1"/>
    <col min="6" max="6" width="9.42578125" customWidth="1"/>
    <col min="7" max="7" width="18.85546875" customWidth="1"/>
    <col min="8" max="8" width="16.140625" customWidth="1"/>
    <col min="9" max="9" width="14.85546875" customWidth="1"/>
    <col min="10" max="10" width="17.5703125" customWidth="1"/>
    <col min="11" max="11" width="21.5703125" customWidth="1"/>
    <col min="12" max="12" width="19.7109375" customWidth="1"/>
    <col min="13" max="13" width="18.85546875" customWidth="1"/>
    <col min="14" max="14" width="22" style="3" customWidth="1"/>
    <col min="15" max="15" width="14.28515625" style="4" customWidth="1"/>
    <col min="16" max="16" width="16.85546875" style="4" customWidth="1"/>
    <col min="17" max="17" width="15" customWidth="1"/>
    <col min="19" max="19" width="13.7109375" customWidth="1"/>
  </cols>
  <sheetData>
    <row r="1" spans="1:19" x14ac:dyDescent="0.25">
      <c r="A1" t="s">
        <v>0</v>
      </c>
      <c r="B1" t="s">
        <v>1</v>
      </c>
      <c r="C1" t="s">
        <v>2</v>
      </c>
      <c r="D1" t="s">
        <v>3</v>
      </c>
      <c r="E1" t="s">
        <v>4</v>
      </c>
      <c r="F1" t="s">
        <v>5</v>
      </c>
      <c r="G1" t="s">
        <v>6</v>
      </c>
      <c r="H1" t="s">
        <v>7</v>
      </c>
      <c r="I1" t="s">
        <v>8</v>
      </c>
      <c r="J1" t="s">
        <v>9</v>
      </c>
      <c r="K1" t="s">
        <v>10</v>
      </c>
      <c r="L1" t="s">
        <v>11</v>
      </c>
      <c r="M1" t="s">
        <v>12</v>
      </c>
      <c r="N1" s="3" t="s">
        <v>323</v>
      </c>
      <c r="O1" s="4" t="s">
        <v>324</v>
      </c>
      <c r="P1" s="4" t="s">
        <v>325</v>
      </c>
      <c r="Q1" t="s">
        <v>326</v>
      </c>
      <c r="R1" t="s">
        <v>327</v>
      </c>
      <c r="S1" t="s">
        <v>328</v>
      </c>
    </row>
    <row r="2" spans="1:19" x14ac:dyDescent="0.25">
      <c r="A2" t="s">
        <v>13</v>
      </c>
      <c r="B2" t="s">
        <v>14</v>
      </c>
      <c r="C2" s="1">
        <v>45717</v>
      </c>
      <c r="D2" s="1">
        <v>45747</v>
      </c>
      <c r="F2" t="s">
        <v>15</v>
      </c>
      <c r="G2" t="s">
        <v>16</v>
      </c>
      <c r="H2">
        <v>342.85</v>
      </c>
      <c r="I2">
        <v>0</v>
      </c>
      <c r="J2" t="s">
        <v>17</v>
      </c>
      <c r="K2" t="s">
        <v>18</v>
      </c>
      <c r="L2" t="s">
        <v>19</v>
      </c>
      <c r="M2" t="s">
        <v>20</v>
      </c>
      <c r="N2" s="3">
        <f>H2-I2</f>
        <v>342.85</v>
      </c>
      <c r="O2" s="4" t="str">
        <f>IF(E2="","",E2-C2)</f>
        <v/>
      </c>
      <c r="P2" s="4">
        <f ca="1">IF(N2&lt;=0,0,TODAY()-D2)</f>
        <v>350</v>
      </c>
      <c r="Q2" s="2" t="str">
        <f ca="1">IF(N2&lt;=0,"Paid",IF(P2&lt;=0,"Current",IF(P2&lt;=30,"1-30",IF(P2&lt;=60,"31-60",IF(P2&lt;=90,"61-90","90+")))))</f>
        <v>90+</v>
      </c>
      <c r="R2" t="str">
        <f>TEXT(C2,"mmm")</f>
        <v>Mar</v>
      </c>
      <c r="S2" t="str">
        <f>TEXT(C2,"yyyy-mm")</f>
        <v>2025-03</v>
      </c>
    </row>
    <row r="3" spans="1:19" x14ac:dyDescent="0.25">
      <c r="A3" t="s">
        <v>21</v>
      </c>
      <c r="B3" t="s">
        <v>22</v>
      </c>
      <c r="C3" s="1">
        <v>45720</v>
      </c>
      <c r="D3" s="1">
        <v>45750</v>
      </c>
      <c r="E3" s="1">
        <v>45732</v>
      </c>
      <c r="F3" t="s">
        <v>23</v>
      </c>
      <c r="G3" t="s">
        <v>24</v>
      </c>
      <c r="H3">
        <v>1012.03</v>
      </c>
      <c r="I3">
        <v>1012.03</v>
      </c>
      <c r="J3" t="s">
        <v>25</v>
      </c>
      <c r="K3" t="s">
        <v>26</v>
      </c>
      <c r="L3" t="s">
        <v>27</v>
      </c>
      <c r="M3" t="s">
        <v>28</v>
      </c>
      <c r="N3" s="3">
        <f t="shared" ref="N3:N66" si="0">H3-I3</f>
        <v>0</v>
      </c>
      <c r="O3" s="4">
        <f t="shared" ref="O3:O66" si="1">IF(E3="","",E3-C3)</f>
        <v>12</v>
      </c>
      <c r="P3" s="4">
        <f t="shared" ref="P3:P66" ca="1" si="2">IF(N3&lt;=0,0,TODAY()-D3)</f>
        <v>0</v>
      </c>
      <c r="Q3" s="2" t="str">
        <f t="shared" ref="Q3:Q66" si="3">IF(N3&lt;=0,"Paid",IF(P3&lt;=0,"Current",IF(P3&lt;=30,"1-30",IF(P3&lt;=60,"31-60",IF(P3&lt;=90,"61-90","90+")))))</f>
        <v>Paid</v>
      </c>
      <c r="R3" t="str">
        <f t="shared" ref="R3:R66" si="4">TEXT(C3,"mmm")</f>
        <v>Mar</v>
      </c>
      <c r="S3" t="str">
        <f t="shared" ref="S3:S66" si="5">TEXT(C3,"yyyy-mm")</f>
        <v>2025-03</v>
      </c>
    </row>
    <row r="4" spans="1:19" x14ac:dyDescent="0.25">
      <c r="A4" t="s">
        <v>29</v>
      </c>
      <c r="B4" t="s">
        <v>22</v>
      </c>
      <c r="C4" s="1">
        <v>45720</v>
      </c>
      <c r="D4" s="1">
        <v>45750</v>
      </c>
      <c r="E4" s="1">
        <v>45765</v>
      </c>
      <c r="F4" t="s">
        <v>30</v>
      </c>
      <c r="G4" t="s">
        <v>31</v>
      </c>
      <c r="H4">
        <v>2286.94</v>
      </c>
      <c r="I4">
        <v>2286.94</v>
      </c>
      <c r="J4" t="s">
        <v>25</v>
      </c>
      <c r="K4" t="s">
        <v>18</v>
      </c>
      <c r="L4" t="s">
        <v>19</v>
      </c>
      <c r="M4" t="s">
        <v>32</v>
      </c>
      <c r="N4" s="3">
        <f t="shared" si="0"/>
        <v>0</v>
      </c>
      <c r="O4" s="4">
        <f t="shared" si="1"/>
        <v>45</v>
      </c>
      <c r="P4" s="4">
        <f t="shared" ca="1" si="2"/>
        <v>0</v>
      </c>
      <c r="Q4" s="2" t="str">
        <f t="shared" si="3"/>
        <v>Paid</v>
      </c>
      <c r="R4" t="str">
        <f t="shared" si="4"/>
        <v>Mar</v>
      </c>
      <c r="S4" t="str">
        <f t="shared" si="5"/>
        <v>2025-03</v>
      </c>
    </row>
    <row r="5" spans="1:19" x14ac:dyDescent="0.25">
      <c r="A5" t="s">
        <v>33</v>
      </c>
      <c r="B5" t="s">
        <v>14</v>
      </c>
      <c r="C5" s="1">
        <v>45721</v>
      </c>
      <c r="D5" s="1">
        <v>45751</v>
      </c>
      <c r="F5" t="s">
        <v>15</v>
      </c>
      <c r="G5" t="s">
        <v>16</v>
      </c>
      <c r="H5">
        <v>527.89</v>
      </c>
      <c r="I5">
        <v>0</v>
      </c>
      <c r="J5" t="s">
        <v>17</v>
      </c>
      <c r="K5" t="s">
        <v>26</v>
      </c>
      <c r="L5" t="s">
        <v>34</v>
      </c>
      <c r="M5" t="s">
        <v>28</v>
      </c>
      <c r="N5" s="3">
        <f t="shared" si="0"/>
        <v>527.89</v>
      </c>
      <c r="O5" s="4" t="str">
        <f t="shared" si="1"/>
        <v/>
      </c>
      <c r="P5" s="4">
        <f t="shared" ca="1" si="2"/>
        <v>346</v>
      </c>
      <c r="Q5" s="2" t="str">
        <f t="shared" ca="1" si="3"/>
        <v>90+</v>
      </c>
      <c r="R5" t="str">
        <f t="shared" si="4"/>
        <v>Mar</v>
      </c>
      <c r="S5" t="str">
        <f t="shared" si="5"/>
        <v>2025-03</v>
      </c>
    </row>
    <row r="6" spans="1:19" x14ac:dyDescent="0.25">
      <c r="A6" t="s">
        <v>35</v>
      </c>
      <c r="B6" t="s">
        <v>36</v>
      </c>
      <c r="C6" s="1">
        <v>45721</v>
      </c>
      <c r="D6" s="1">
        <v>45751</v>
      </c>
      <c r="F6" t="s">
        <v>30</v>
      </c>
      <c r="G6" t="s">
        <v>37</v>
      </c>
      <c r="H6">
        <v>2036.95</v>
      </c>
      <c r="I6">
        <v>0</v>
      </c>
      <c r="J6" t="s">
        <v>17</v>
      </c>
      <c r="K6" t="s">
        <v>26</v>
      </c>
      <c r="L6" t="s">
        <v>38</v>
      </c>
      <c r="M6" t="s">
        <v>39</v>
      </c>
      <c r="N6" s="3">
        <f t="shared" si="0"/>
        <v>2036.95</v>
      </c>
      <c r="O6" s="4" t="str">
        <f t="shared" si="1"/>
        <v/>
      </c>
      <c r="P6" s="4">
        <f t="shared" ca="1" si="2"/>
        <v>346</v>
      </c>
      <c r="Q6" s="2" t="str">
        <f t="shared" ca="1" si="3"/>
        <v>90+</v>
      </c>
      <c r="R6" t="str">
        <f t="shared" si="4"/>
        <v>Mar</v>
      </c>
      <c r="S6" t="str">
        <f t="shared" si="5"/>
        <v>2025-03</v>
      </c>
    </row>
    <row r="7" spans="1:19" x14ac:dyDescent="0.25">
      <c r="A7" t="s">
        <v>40</v>
      </c>
      <c r="B7" t="s">
        <v>41</v>
      </c>
      <c r="C7" s="1">
        <v>45722</v>
      </c>
      <c r="D7" s="1">
        <v>45752</v>
      </c>
      <c r="E7" s="1">
        <v>45749</v>
      </c>
      <c r="F7" t="s">
        <v>30</v>
      </c>
      <c r="G7" t="s">
        <v>24</v>
      </c>
      <c r="H7">
        <v>4371.67</v>
      </c>
      <c r="I7">
        <v>4371.67</v>
      </c>
      <c r="J7" t="s">
        <v>25</v>
      </c>
      <c r="K7" t="s">
        <v>18</v>
      </c>
      <c r="L7" t="s">
        <v>19</v>
      </c>
      <c r="M7" t="s">
        <v>42</v>
      </c>
      <c r="N7" s="3">
        <f t="shared" si="0"/>
        <v>0</v>
      </c>
      <c r="O7" s="4">
        <f t="shared" si="1"/>
        <v>27</v>
      </c>
      <c r="P7" s="4">
        <f t="shared" ca="1" si="2"/>
        <v>0</v>
      </c>
      <c r="Q7" s="2" t="str">
        <f t="shared" si="3"/>
        <v>Paid</v>
      </c>
      <c r="R7" t="str">
        <f t="shared" si="4"/>
        <v>Mar</v>
      </c>
      <c r="S7" t="str">
        <f t="shared" si="5"/>
        <v>2025-03</v>
      </c>
    </row>
    <row r="8" spans="1:19" x14ac:dyDescent="0.25">
      <c r="A8" t="s">
        <v>43</v>
      </c>
      <c r="B8" t="s">
        <v>44</v>
      </c>
      <c r="C8" s="1">
        <v>45727</v>
      </c>
      <c r="D8" s="1">
        <v>45757</v>
      </c>
      <c r="F8" t="s">
        <v>45</v>
      </c>
      <c r="G8" t="s">
        <v>31</v>
      </c>
      <c r="H8">
        <v>3042.68</v>
      </c>
      <c r="I8">
        <v>0</v>
      </c>
      <c r="J8" t="s">
        <v>17</v>
      </c>
      <c r="K8" t="s">
        <v>26</v>
      </c>
      <c r="L8" t="s">
        <v>34</v>
      </c>
      <c r="M8" t="s">
        <v>46</v>
      </c>
      <c r="N8" s="3">
        <f t="shared" si="0"/>
        <v>3042.68</v>
      </c>
      <c r="O8" s="4" t="str">
        <f t="shared" si="1"/>
        <v/>
      </c>
      <c r="P8" s="4">
        <f t="shared" ca="1" si="2"/>
        <v>340</v>
      </c>
      <c r="Q8" s="2" t="str">
        <f t="shared" ca="1" si="3"/>
        <v>90+</v>
      </c>
      <c r="R8" t="str">
        <f t="shared" si="4"/>
        <v>Mar</v>
      </c>
      <c r="S8" t="str">
        <f t="shared" si="5"/>
        <v>2025-03</v>
      </c>
    </row>
    <row r="9" spans="1:19" x14ac:dyDescent="0.25">
      <c r="A9" t="s">
        <v>47</v>
      </c>
      <c r="B9" t="s">
        <v>48</v>
      </c>
      <c r="C9" s="1">
        <v>45728</v>
      </c>
      <c r="D9" s="1">
        <v>45758</v>
      </c>
      <c r="E9" s="1">
        <v>45739</v>
      </c>
      <c r="F9" t="s">
        <v>23</v>
      </c>
      <c r="G9" t="s">
        <v>31</v>
      </c>
      <c r="H9">
        <v>2328.92</v>
      </c>
      <c r="I9">
        <v>2328.92</v>
      </c>
      <c r="J9" t="s">
        <v>25</v>
      </c>
      <c r="K9" t="s">
        <v>18</v>
      </c>
      <c r="L9" t="s">
        <v>19</v>
      </c>
      <c r="M9" t="s">
        <v>39</v>
      </c>
      <c r="N9" s="3">
        <f t="shared" si="0"/>
        <v>0</v>
      </c>
      <c r="O9" s="4">
        <f t="shared" si="1"/>
        <v>11</v>
      </c>
      <c r="P9" s="4">
        <f t="shared" ca="1" si="2"/>
        <v>0</v>
      </c>
      <c r="Q9" s="2" t="str">
        <f t="shared" si="3"/>
        <v>Paid</v>
      </c>
      <c r="R9" t="str">
        <f t="shared" si="4"/>
        <v>Mar</v>
      </c>
      <c r="S9" t="str">
        <f t="shared" si="5"/>
        <v>2025-03</v>
      </c>
    </row>
    <row r="10" spans="1:19" x14ac:dyDescent="0.25">
      <c r="A10" t="s">
        <v>49</v>
      </c>
      <c r="B10" t="s">
        <v>50</v>
      </c>
      <c r="C10" s="1">
        <v>45728</v>
      </c>
      <c r="D10" s="1">
        <v>45758</v>
      </c>
      <c r="E10" s="1">
        <v>45780</v>
      </c>
      <c r="F10" t="s">
        <v>45</v>
      </c>
      <c r="G10" t="s">
        <v>16</v>
      </c>
      <c r="H10">
        <v>1940.77</v>
      </c>
      <c r="I10">
        <v>1940.77</v>
      </c>
      <c r="J10" t="s">
        <v>25</v>
      </c>
      <c r="K10" t="s">
        <v>26</v>
      </c>
      <c r="L10" t="s">
        <v>27</v>
      </c>
      <c r="M10" t="s">
        <v>46</v>
      </c>
      <c r="N10" s="3">
        <f t="shared" si="0"/>
        <v>0</v>
      </c>
      <c r="O10" s="4">
        <f t="shared" si="1"/>
        <v>52</v>
      </c>
      <c r="P10" s="4">
        <f t="shared" ca="1" si="2"/>
        <v>0</v>
      </c>
      <c r="Q10" s="2" t="str">
        <f t="shared" si="3"/>
        <v>Paid</v>
      </c>
      <c r="R10" t="str">
        <f t="shared" si="4"/>
        <v>Mar</v>
      </c>
      <c r="S10" t="str">
        <f t="shared" si="5"/>
        <v>2025-03</v>
      </c>
    </row>
    <row r="11" spans="1:19" x14ac:dyDescent="0.25">
      <c r="A11" t="s">
        <v>51</v>
      </c>
      <c r="B11" t="s">
        <v>52</v>
      </c>
      <c r="C11" s="1">
        <v>45729</v>
      </c>
      <c r="D11" s="1">
        <v>45759</v>
      </c>
      <c r="E11" s="1">
        <v>45771</v>
      </c>
      <c r="F11" t="s">
        <v>30</v>
      </c>
      <c r="G11" t="s">
        <v>53</v>
      </c>
      <c r="H11">
        <v>1804.67</v>
      </c>
      <c r="I11">
        <v>1804.67</v>
      </c>
      <c r="J11" t="s">
        <v>25</v>
      </c>
      <c r="K11" t="s">
        <v>18</v>
      </c>
      <c r="L11" t="s">
        <v>19</v>
      </c>
      <c r="M11" t="s">
        <v>32</v>
      </c>
      <c r="N11" s="3">
        <f t="shared" si="0"/>
        <v>0</v>
      </c>
      <c r="O11" s="4">
        <f t="shared" si="1"/>
        <v>42</v>
      </c>
      <c r="P11" s="4">
        <f t="shared" ca="1" si="2"/>
        <v>0</v>
      </c>
      <c r="Q11" s="2" t="str">
        <f t="shared" si="3"/>
        <v>Paid</v>
      </c>
      <c r="R11" t="str">
        <f t="shared" si="4"/>
        <v>Mar</v>
      </c>
      <c r="S11" t="str">
        <f t="shared" si="5"/>
        <v>2025-03</v>
      </c>
    </row>
    <row r="12" spans="1:19" x14ac:dyDescent="0.25">
      <c r="A12" t="s">
        <v>54</v>
      </c>
      <c r="B12" t="s">
        <v>48</v>
      </c>
      <c r="C12" s="1">
        <v>45729</v>
      </c>
      <c r="D12" s="1">
        <v>45759</v>
      </c>
      <c r="E12" s="1">
        <v>45781</v>
      </c>
      <c r="F12" t="s">
        <v>15</v>
      </c>
      <c r="G12" t="s">
        <v>37</v>
      </c>
      <c r="H12">
        <v>8339</v>
      </c>
      <c r="I12">
        <v>8339</v>
      </c>
      <c r="J12" t="s">
        <v>25</v>
      </c>
      <c r="K12" t="s">
        <v>26</v>
      </c>
      <c r="L12" t="s">
        <v>55</v>
      </c>
      <c r="M12" t="s">
        <v>42</v>
      </c>
      <c r="N12" s="3">
        <f t="shared" si="0"/>
        <v>0</v>
      </c>
      <c r="O12" s="4">
        <f t="shared" si="1"/>
        <v>52</v>
      </c>
      <c r="P12" s="4">
        <f t="shared" ca="1" si="2"/>
        <v>0</v>
      </c>
      <c r="Q12" s="2" t="str">
        <f t="shared" si="3"/>
        <v>Paid</v>
      </c>
      <c r="R12" t="str">
        <f t="shared" si="4"/>
        <v>Mar</v>
      </c>
      <c r="S12" t="str">
        <f t="shared" si="5"/>
        <v>2025-03</v>
      </c>
    </row>
    <row r="13" spans="1:19" x14ac:dyDescent="0.25">
      <c r="A13" t="s">
        <v>56</v>
      </c>
      <c r="B13" t="s">
        <v>44</v>
      </c>
      <c r="C13" s="1">
        <v>45730</v>
      </c>
      <c r="D13" s="1">
        <v>45760</v>
      </c>
      <c r="E13" s="1">
        <v>45767</v>
      </c>
      <c r="F13" t="s">
        <v>45</v>
      </c>
      <c r="G13" t="s">
        <v>37</v>
      </c>
      <c r="H13">
        <v>6371.4</v>
      </c>
      <c r="I13">
        <v>6371.4</v>
      </c>
      <c r="J13" t="s">
        <v>25</v>
      </c>
      <c r="K13" t="s">
        <v>18</v>
      </c>
      <c r="L13" t="s">
        <v>19</v>
      </c>
      <c r="M13" t="s">
        <v>39</v>
      </c>
      <c r="N13" s="3">
        <f t="shared" si="0"/>
        <v>0</v>
      </c>
      <c r="O13" s="4">
        <f t="shared" si="1"/>
        <v>37</v>
      </c>
      <c r="P13" s="4">
        <f t="shared" ca="1" si="2"/>
        <v>0</v>
      </c>
      <c r="Q13" s="2" t="str">
        <f t="shared" si="3"/>
        <v>Paid</v>
      </c>
      <c r="R13" t="str">
        <f t="shared" si="4"/>
        <v>Mar</v>
      </c>
      <c r="S13" t="str">
        <f t="shared" si="5"/>
        <v>2025-03</v>
      </c>
    </row>
    <row r="14" spans="1:19" x14ac:dyDescent="0.25">
      <c r="A14" t="s">
        <v>57</v>
      </c>
      <c r="B14" t="s">
        <v>58</v>
      </c>
      <c r="C14" s="1">
        <v>45732</v>
      </c>
      <c r="D14" s="1">
        <v>45762</v>
      </c>
      <c r="E14" s="1">
        <v>45763</v>
      </c>
      <c r="F14" t="s">
        <v>59</v>
      </c>
      <c r="G14" t="s">
        <v>37</v>
      </c>
      <c r="H14">
        <v>7294.23</v>
      </c>
      <c r="I14">
        <v>7294.23</v>
      </c>
      <c r="J14" t="s">
        <v>25</v>
      </c>
      <c r="K14" t="s">
        <v>26</v>
      </c>
      <c r="L14" t="s">
        <v>27</v>
      </c>
      <c r="M14" t="s">
        <v>28</v>
      </c>
      <c r="N14" s="3">
        <f t="shared" si="0"/>
        <v>0</v>
      </c>
      <c r="O14" s="4">
        <f t="shared" si="1"/>
        <v>31</v>
      </c>
      <c r="P14" s="4">
        <f t="shared" ca="1" si="2"/>
        <v>0</v>
      </c>
      <c r="Q14" s="2" t="str">
        <f t="shared" si="3"/>
        <v>Paid</v>
      </c>
      <c r="R14" t="str">
        <f t="shared" si="4"/>
        <v>Mar</v>
      </c>
      <c r="S14" t="str">
        <f t="shared" si="5"/>
        <v>2025-03</v>
      </c>
    </row>
    <row r="15" spans="1:19" x14ac:dyDescent="0.25">
      <c r="A15" t="s">
        <v>60</v>
      </c>
      <c r="B15" t="s">
        <v>22</v>
      </c>
      <c r="C15" s="1">
        <v>45733</v>
      </c>
      <c r="D15" s="1">
        <v>45763</v>
      </c>
      <c r="F15" t="s">
        <v>30</v>
      </c>
      <c r="G15" t="s">
        <v>31</v>
      </c>
      <c r="H15">
        <v>764.75</v>
      </c>
      <c r="I15">
        <v>0</v>
      </c>
      <c r="J15" t="s">
        <v>17</v>
      </c>
      <c r="K15" t="s">
        <v>26</v>
      </c>
      <c r="L15" t="s">
        <v>27</v>
      </c>
      <c r="M15" t="s">
        <v>42</v>
      </c>
      <c r="N15" s="3">
        <f t="shared" si="0"/>
        <v>764.75</v>
      </c>
      <c r="O15" s="4" t="str">
        <f t="shared" si="1"/>
        <v/>
      </c>
      <c r="P15" s="4">
        <f t="shared" ca="1" si="2"/>
        <v>334</v>
      </c>
      <c r="Q15" s="2" t="str">
        <f t="shared" ca="1" si="3"/>
        <v>90+</v>
      </c>
      <c r="R15" t="str">
        <f t="shared" si="4"/>
        <v>Mar</v>
      </c>
      <c r="S15" t="str">
        <f t="shared" si="5"/>
        <v>2025-03</v>
      </c>
    </row>
    <row r="16" spans="1:19" x14ac:dyDescent="0.25">
      <c r="A16" t="s">
        <v>61</v>
      </c>
      <c r="B16" t="s">
        <v>58</v>
      </c>
      <c r="C16" s="1">
        <v>45735</v>
      </c>
      <c r="D16" s="1">
        <v>45765</v>
      </c>
      <c r="F16" t="s">
        <v>45</v>
      </c>
      <c r="G16" t="s">
        <v>31</v>
      </c>
      <c r="H16">
        <v>4246.43</v>
      </c>
      <c r="I16">
        <v>0</v>
      </c>
      <c r="J16" t="s">
        <v>17</v>
      </c>
      <c r="K16" t="s">
        <v>18</v>
      </c>
      <c r="L16" t="s">
        <v>19</v>
      </c>
      <c r="M16" t="s">
        <v>32</v>
      </c>
      <c r="N16" s="3">
        <f t="shared" si="0"/>
        <v>4246.43</v>
      </c>
      <c r="O16" s="4" t="str">
        <f t="shared" si="1"/>
        <v/>
      </c>
      <c r="P16" s="4">
        <f t="shared" ca="1" si="2"/>
        <v>332</v>
      </c>
      <c r="Q16" s="2" t="str">
        <f t="shared" ca="1" si="3"/>
        <v>90+</v>
      </c>
      <c r="R16" t="str">
        <f t="shared" si="4"/>
        <v>Mar</v>
      </c>
      <c r="S16" t="str">
        <f t="shared" si="5"/>
        <v>2025-03</v>
      </c>
    </row>
    <row r="17" spans="1:19" x14ac:dyDescent="0.25">
      <c r="A17" t="s">
        <v>62</v>
      </c>
      <c r="B17" t="s">
        <v>41</v>
      </c>
      <c r="C17" s="1">
        <v>45737</v>
      </c>
      <c r="D17" s="1">
        <v>45767</v>
      </c>
      <c r="F17" t="s">
        <v>59</v>
      </c>
      <c r="G17" t="s">
        <v>31</v>
      </c>
      <c r="H17">
        <v>3106.04</v>
      </c>
      <c r="I17">
        <v>0</v>
      </c>
      <c r="J17" t="s">
        <v>17</v>
      </c>
      <c r="K17" t="s">
        <v>26</v>
      </c>
      <c r="L17" t="s">
        <v>38</v>
      </c>
      <c r="M17" t="s">
        <v>39</v>
      </c>
      <c r="N17" s="3">
        <f t="shared" si="0"/>
        <v>3106.04</v>
      </c>
      <c r="O17" s="4" t="str">
        <f t="shared" si="1"/>
        <v/>
      </c>
      <c r="P17" s="4">
        <f t="shared" ca="1" si="2"/>
        <v>330</v>
      </c>
      <c r="Q17" s="2" t="str">
        <f t="shared" ca="1" si="3"/>
        <v>90+</v>
      </c>
      <c r="R17" t="str">
        <f t="shared" si="4"/>
        <v>Mar</v>
      </c>
      <c r="S17" t="str">
        <f t="shared" si="5"/>
        <v>2025-03</v>
      </c>
    </row>
    <row r="18" spans="1:19" x14ac:dyDescent="0.25">
      <c r="A18" t="s">
        <v>63</v>
      </c>
      <c r="B18" t="s">
        <v>64</v>
      </c>
      <c r="C18" s="1">
        <v>45739</v>
      </c>
      <c r="D18" s="1">
        <v>45769</v>
      </c>
      <c r="E18" s="1">
        <v>45776</v>
      </c>
      <c r="F18" t="s">
        <v>30</v>
      </c>
      <c r="G18" t="s">
        <v>37</v>
      </c>
      <c r="H18">
        <v>7545.37</v>
      </c>
      <c r="I18">
        <v>7545.37</v>
      </c>
      <c r="J18" t="s">
        <v>25</v>
      </c>
      <c r="K18" t="s">
        <v>18</v>
      </c>
      <c r="L18" t="s">
        <v>19</v>
      </c>
      <c r="M18" t="s">
        <v>42</v>
      </c>
      <c r="N18" s="3">
        <f t="shared" si="0"/>
        <v>0</v>
      </c>
      <c r="O18" s="4">
        <f t="shared" si="1"/>
        <v>37</v>
      </c>
      <c r="P18" s="4">
        <f t="shared" ca="1" si="2"/>
        <v>0</v>
      </c>
      <c r="Q18" s="2" t="str">
        <f t="shared" si="3"/>
        <v>Paid</v>
      </c>
      <c r="R18" t="str">
        <f t="shared" si="4"/>
        <v>Mar</v>
      </c>
      <c r="S18" t="str">
        <f t="shared" si="5"/>
        <v>2025-03</v>
      </c>
    </row>
    <row r="19" spans="1:19" x14ac:dyDescent="0.25">
      <c r="A19" t="s">
        <v>65</v>
      </c>
      <c r="B19" t="s">
        <v>22</v>
      </c>
      <c r="C19" s="1">
        <v>45739</v>
      </c>
      <c r="D19" s="1">
        <v>45769</v>
      </c>
      <c r="F19" t="s">
        <v>45</v>
      </c>
      <c r="G19" t="s">
        <v>31</v>
      </c>
      <c r="H19">
        <v>2659.04</v>
      </c>
      <c r="I19">
        <v>888.34</v>
      </c>
      <c r="J19" t="s">
        <v>66</v>
      </c>
      <c r="K19" t="s">
        <v>18</v>
      </c>
      <c r="L19" t="s">
        <v>19</v>
      </c>
      <c r="M19" t="s">
        <v>32</v>
      </c>
      <c r="N19" s="3">
        <f t="shared" si="0"/>
        <v>1770.6999999999998</v>
      </c>
      <c r="O19" s="4" t="str">
        <f t="shared" si="1"/>
        <v/>
      </c>
      <c r="P19" s="4">
        <f t="shared" ca="1" si="2"/>
        <v>328</v>
      </c>
      <c r="Q19" s="2" t="str">
        <f t="shared" ca="1" si="3"/>
        <v>90+</v>
      </c>
      <c r="R19" t="str">
        <f t="shared" si="4"/>
        <v>Mar</v>
      </c>
      <c r="S19" t="str">
        <f t="shared" si="5"/>
        <v>2025-03</v>
      </c>
    </row>
    <row r="20" spans="1:19" x14ac:dyDescent="0.25">
      <c r="A20" t="s">
        <v>67</v>
      </c>
      <c r="B20" t="s">
        <v>68</v>
      </c>
      <c r="C20" s="1">
        <v>45740</v>
      </c>
      <c r="D20" s="1">
        <v>45770</v>
      </c>
      <c r="E20" s="1">
        <v>45774</v>
      </c>
      <c r="F20" t="s">
        <v>30</v>
      </c>
      <c r="G20" t="s">
        <v>69</v>
      </c>
      <c r="H20">
        <v>1511.24</v>
      </c>
      <c r="I20">
        <v>1511.24</v>
      </c>
      <c r="J20" t="s">
        <v>25</v>
      </c>
      <c r="K20" t="s">
        <v>18</v>
      </c>
      <c r="L20" t="s">
        <v>19</v>
      </c>
      <c r="M20" t="s">
        <v>42</v>
      </c>
      <c r="N20" s="3">
        <f t="shared" si="0"/>
        <v>0</v>
      </c>
      <c r="O20" s="4">
        <f t="shared" si="1"/>
        <v>34</v>
      </c>
      <c r="P20" s="4">
        <f t="shared" ca="1" si="2"/>
        <v>0</v>
      </c>
      <c r="Q20" s="2" t="str">
        <f t="shared" si="3"/>
        <v>Paid</v>
      </c>
      <c r="R20" t="str">
        <f t="shared" si="4"/>
        <v>Mar</v>
      </c>
      <c r="S20" t="str">
        <f t="shared" si="5"/>
        <v>2025-03</v>
      </c>
    </row>
    <row r="21" spans="1:19" x14ac:dyDescent="0.25">
      <c r="A21" t="s">
        <v>70</v>
      </c>
      <c r="B21" t="s">
        <v>71</v>
      </c>
      <c r="C21" s="1">
        <v>45740</v>
      </c>
      <c r="D21" s="1">
        <v>45770</v>
      </c>
      <c r="E21" s="1">
        <v>45749</v>
      </c>
      <c r="F21" t="s">
        <v>15</v>
      </c>
      <c r="G21" t="s">
        <v>16</v>
      </c>
      <c r="H21">
        <v>763.78</v>
      </c>
      <c r="I21">
        <v>763.78</v>
      </c>
      <c r="J21" t="s">
        <v>25</v>
      </c>
      <c r="K21" t="s">
        <v>18</v>
      </c>
      <c r="L21" t="s">
        <v>19</v>
      </c>
      <c r="M21" t="s">
        <v>28</v>
      </c>
      <c r="N21" s="3">
        <f t="shared" si="0"/>
        <v>0</v>
      </c>
      <c r="O21" s="4">
        <f t="shared" si="1"/>
        <v>9</v>
      </c>
      <c r="P21" s="4">
        <f t="shared" ca="1" si="2"/>
        <v>0</v>
      </c>
      <c r="Q21" s="2" t="str">
        <f t="shared" si="3"/>
        <v>Paid</v>
      </c>
      <c r="R21" t="str">
        <f t="shared" si="4"/>
        <v>Mar</v>
      </c>
      <c r="S21" t="str">
        <f t="shared" si="5"/>
        <v>2025-03</v>
      </c>
    </row>
    <row r="22" spans="1:19" x14ac:dyDescent="0.25">
      <c r="A22" t="s">
        <v>72</v>
      </c>
      <c r="B22" t="s">
        <v>58</v>
      </c>
      <c r="C22" s="1">
        <v>45742</v>
      </c>
      <c r="D22" s="1">
        <v>45772</v>
      </c>
      <c r="E22" s="1">
        <v>45774</v>
      </c>
      <c r="F22" t="s">
        <v>30</v>
      </c>
      <c r="G22" t="s">
        <v>31</v>
      </c>
      <c r="H22">
        <v>1346.64</v>
      </c>
      <c r="I22">
        <v>1346.64</v>
      </c>
      <c r="J22" t="s">
        <v>25</v>
      </c>
      <c r="K22" t="s">
        <v>18</v>
      </c>
      <c r="L22" t="s">
        <v>19</v>
      </c>
      <c r="M22" t="s">
        <v>42</v>
      </c>
      <c r="N22" s="3">
        <f t="shared" si="0"/>
        <v>0</v>
      </c>
      <c r="O22" s="4">
        <f t="shared" si="1"/>
        <v>32</v>
      </c>
      <c r="P22" s="4">
        <f t="shared" ca="1" si="2"/>
        <v>0</v>
      </c>
      <c r="Q22" s="2" t="str">
        <f t="shared" si="3"/>
        <v>Paid</v>
      </c>
      <c r="R22" t="str">
        <f t="shared" si="4"/>
        <v>Mar</v>
      </c>
      <c r="S22" t="str">
        <f t="shared" si="5"/>
        <v>2025-03</v>
      </c>
    </row>
    <row r="23" spans="1:19" x14ac:dyDescent="0.25">
      <c r="A23" t="s">
        <v>73</v>
      </c>
      <c r="B23" t="s">
        <v>36</v>
      </c>
      <c r="C23" s="1">
        <v>45744</v>
      </c>
      <c r="D23" s="1">
        <v>45774</v>
      </c>
      <c r="E23" s="1">
        <v>45758</v>
      </c>
      <c r="F23" t="s">
        <v>15</v>
      </c>
      <c r="G23" t="s">
        <v>16</v>
      </c>
      <c r="H23">
        <v>2377</v>
      </c>
      <c r="I23">
        <v>2377</v>
      </c>
      <c r="J23" t="s">
        <v>25</v>
      </c>
      <c r="K23" t="s">
        <v>18</v>
      </c>
      <c r="L23" t="s">
        <v>19</v>
      </c>
      <c r="M23" t="s">
        <v>28</v>
      </c>
      <c r="N23" s="3">
        <f t="shared" si="0"/>
        <v>0</v>
      </c>
      <c r="O23" s="4">
        <f t="shared" si="1"/>
        <v>14</v>
      </c>
      <c r="P23" s="4">
        <f t="shared" ca="1" si="2"/>
        <v>0</v>
      </c>
      <c r="Q23" s="2" t="str">
        <f t="shared" si="3"/>
        <v>Paid</v>
      </c>
      <c r="R23" t="str">
        <f t="shared" si="4"/>
        <v>Mar</v>
      </c>
      <c r="S23" t="str">
        <f t="shared" si="5"/>
        <v>2025-03</v>
      </c>
    </row>
    <row r="24" spans="1:19" x14ac:dyDescent="0.25">
      <c r="A24" t="s">
        <v>74</v>
      </c>
      <c r="B24" t="s">
        <v>41</v>
      </c>
      <c r="C24" s="1">
        <v>45745</v>
      </c>
      <c r="D24" s="1">
        <v>45775</v>
      </c>
      <c r="E24" s="1">
        <v>45757</v>
      </c>
      <c r="F24" t="s">
        <v>30</v>
      </c>
      <c r="G24" t="s">
        <v>37</v>
      </c>
      <c r="H24">
        <v>3621.18</v>
      </c>
      <c r="I24">
        <v>3621.18</v>
      </c>
      <c r="J24" t="s">
        <v>25</v>
      </c>
      <c r="K24" t="s">
        <v>26</v>
      </c>
      <c r="L24" t="s">
        <v>27</v>
      </c>
      <c r="M24" t="s">
        <v>46</v>
      </c>
      <c r="N24" s="3">
        <f t="shared" si="0"/>
        <v>0</v>
      </c>
      <c r="O24" s="4">
        <f t="shared" si="1"/>
        <v>12</v>
      </c>
      <c r="P24" s="4">
        <f t="shared" ca="1" si="2"/>
        <v>0</v>
      </c>
      <c r="Q24" s="2" t="str">
        <f t="shared" si="3"/>
        <v>Paid</v>
      </c>
      <c r="R24" t="str">
        <f t="shared" si="4"/>
        <v>Mar</v>
      </c>
      <c r="S24" t="str">
        <f t="shared" si="5"/>
        <v>2025-03</v>
      </c>
    </row>
    <row r="25" spans="1:19" x14ac:dyDescent="0.25">
      <c r="A25" t="s">
        <v>75</v>
      </c>
      <c r="B25" t="s">
        <v>76</v>
      </c>
      <c r="C25" s="1">
        <v>45745</v>
      </c>
      <c r="D25" s="1">
        <v>45775</v>
      </c>
      <c r="E25" s="1">
        <v>45796</v>
      </c>
      <c r="F25" t="s">
        <v>45</v>
      </c>
      <c r="G25" t="s">
        <v>53</v>
      </c>
      <c r="H25">
        <v>3791.06</v>
      </c>
      <c r="I25">
        <v>3791.06</v>
      </c>
      <c r="J25" t="s">
        <v>25</v>
      </c>
      <c r="K25" t="s">
        <v>18</v>
      </c>
      <c r="L25" t="s">
        <v>19</v>
      </c>
      <c r="M25" t="s">
        <v>39</v>
      </c>
      <c r="N25" s="3">
        <f t="shared" si="0"/>
        <v>0</v>
      </c>
      <c r="O25" s="4">
        <f t="shared" si="1"/>
        <v>51</v>
      </c>
      <c r="P25" s="4">
        <f t="shared" ca="1" si="2"/>
        <v>0</v>
      </c>
      <c r="Q25" s="2" t="str">
        <f t="shared" si="3"/>
        <v>Paid</v>
      </c>
      <c r="R25" t="str">
        <f t="shared" si="4"/>
        <v>Mar</v>
      </c>
      <c r="S25" t="str">
        <f t="shared" si="5"/>
        <v>2025-03</v>
      </c>
    </row>
    <row r="26" spans="1:19" x14ac:dyDescent="0.25">
      <c r="A26" t="s">
        <v>77</v>
      </c>
      <c r="B26" t="s">
        <v>78</v>
      </c>
      <c r="C26" s="1">
        <v>45750</v>
      </c>
      <c r="D26" s="1">
        <v>45780</v>
      </c>
      <c r="E26" s="1">
        <v>45800</v>
      </c>
      <c r="F26" t="s">
        <v>30</v>
      </c>
      <c r="G26" t="s">
        <v>69</v>
      </c>
      <c r="H26">
        <v>2502.98</v>
      </c>
      <c r="I26">
        <v>2502.98</v>
      </c>
      <c r="J26" t="s">
        <v>25</v>
      </c>
      <c r="K26" t="s">
        <v>18</v>
      </c>
      <c r="L26" t="s">
        <v>19</v>
      </c>
      <c r="M26" t="s">
        <v>39</v>
      </c>
      <c r="N26" s="3">
        <f t="shared" si="0"/>
        <v>0</v>
      </c>
      <c r="O26" s="4">
        <f t="shared" si="1"/>
        <v>50</v>
      </c>
      <c r="P26" s="4">
        <f t="shared" ca="1" si="2"/>
        <v>0</v>
      </c>
      <c r="Q26" s="2" t="str">
        <f t="shared" si="3"/>
        <v>Paid</v>
      </c>
      <c r="R26" t="str">
        <f t="shared" si="4"/>
        <v>Apr</v>
      </c>
      <c r="S26" t="str">
        <f t="shared" si="5"/>
        <v>2025-04</v>
      </c>
    </row>
    <row r="27" spans="1:19" x14ac:dyDescent="0.25">
      <c r="A27" t="s">
        <v>79</v>
      </c>
      <c r="B27" t="s">
        <v>48</v>
      </c>
      <c r="C27" s="1">
        <v>45751</v>
      </c>
      <c r="D27" s="1">
        <v>45781</v>
      </c>
      <c r="E27" s="1">
        <v>45805</v>
      </c>
      <c r="F27" t="s">
        <v>23</v>
      </c>
      <c r="G27" t="s">
        <v>69</v>
      </c>
      <c r="H27">
        <v>1738.82</v>
      </c>
      <c r="I27">
        <v>1015.16</v>
      </c>
      <c r="J27" t="s">
        <v>66</v>
      </c>
      <c r="K27" t="s">
        <v>26</v>
      </c>
      <c r="L27" t="s">
        <v>34</v>
      </c>
      <c r="M27" t="s">
        <v>46</v>
      </c>
      <c r="N27" s="3">
        <f t="shared" si="0"/>
        <v>723.66</v>
      </c>
      <c r="O27" s="4">
        <f t="shared" si="1"/>
        <v>54</v>
      </c>
      <c r="P27" s="4">
        <f t="shared" ca="1" si="2"/>
        <v>316</v>
      </c>
      <c r="Q27" s="2" t="str">
        <f t="shared" ca="1" si="3"/>
        <v>90+</v>
      </c>
      <c r="R27" t="str">
        <f t="shared" si="4"/>
        <v>Apr</v>
      </c>
      <c r="S27" t="str">
        <f t="shared" si="5"/>
        <v>2025-04</v>
      </c>
    </row>
    <row r="28" spans="1:19" x14ac:dyDescent="0.25">
      <c r="A28" t="s">
        <v>80</v>
      </c>
      <c r="B28" t="s">
        <v>81</v>
      </c>
      <c r="C28" s="1">
        <v>45751</v>
      </c>
      <c r="D28" s="1">
        <v>45781</v>
      </c>
      <c r="E28" s="1">
        <v>45780</v>
      </c>
      <c r="F28" t="s">
        <v>30</v>
      </c>
      <c r="G28" t="s">
        <v>53</v>
      </c>
      <c r="H28">
        <v>5531.15</v>
      </c>
      <c r="I28">
        <v>5531.15</v>
      </c>
      <c r="J28" t="s">
        <v>25</v>
      </c>
      <c r="K28" t="s">
        <v>18</v>
      </c>
      <c r="L28" t="s">
        <v>19</v>
      </c>
      <c r="M28" t="s">
        <v>28</v>
      </c>
      <c r="N28" s="3">
        <f t="shared" si="0"/>
        <v>0</v>
      </c>
      <c r="O28" s="4">
        <f t="shared" si="1"/>
        <v>29</v>
      </c>
      <c r="P28" s="4">
        <f t="shared" ca="1" si="2"/>
        <v>0</v>
      </c>
      <c r="Q28" s="2" t="str">
        <f t="shared" si="3"/>
        <v>Paid</v>
      </c>
      <c r="R28" t="str">
        <f t="shared" si="4"/>
        <v>Apr</v>
      </c>
      <c r="S28" t="str">
        <f t="shared" si="5"/>
        <v>2025-04</v>
      </c>
    </row>
    <row r="29" spans="1:19" x14ac:dyDescent="0.25">
      <c r="A29" t="s">
        <v>82</v>
      </c>
      <c r="B29" t="s">
        <v>64</v>
      </c>
      <c r="C29" s="1">
        <v>45753</v>
      </c>
      <c r="D29" s="1">
        <v>45783</v>
      </c>
      <c r="E29" s="1">
        <v>45803</v>
      </c>
      <c r="F29" t="s">
        <v>23</v>
      </c>
      <c r="G29" t="s">
        <v>53</v>
      </c>
      <c r="H29">
        <v>5084.32</v>
      </c>
      <c r="I29">
        <v>2610.7600000000002</v>
      </c>
      <c r="J29" t="s">
        <v>66</v>
      </c>
      <c r="K29" t="s">
        <v>18</v>
      </c>
      <c r="L29" t="s">
        <v>19</v>
      </c>
      <c r="M29" t="s">
        <v>42</v>
      </c>
      <c r="N29" s="3">
        <f t="shared" si="0"/>
        <v>2473.5599999999995</v>
      </c>
      <c r="O29" s="4">
        <f t="shared" si="1"/>
        <v>50</v>
      </c>
      <c r="P29" s="4">
        <f t="shared" ca="1" si="2"/>
        <v>314</v>
      </c>
      <c r="Q29" s="2" t="str">
        <f t="shared" ca="1" si="3"/>
        <v>90+</v>
      </c>
      <c r="R29" t="str">
        <f t="shared" si="4"/>
        <v>Apr</v>
      </c>
      <c r="S29" t="str">
        <f t="shared" si="5"/>
        <v>2025-04</v>
      </c>
    </row>
    <row r="30" spans="1:19" x14ac:dyDescent="0.25">
      <c r="A30" t="s">
        <v>83</v>
      </c>
      <c r="B30" t="s">
        <v>50</v>
      </c>
      <c r="C30" s="1">
        <v>45760</v>
      </c>
      <c r="D30" s="1">
        <v>45790</v>
      </c>
      <c r="E30" s="1">
        <v>45782</v>
      </c>
      <c r="F30" t="s">
        <v>59</v>
      </c>
      <c r="G30" t="s">
        <v>69</v>
      </c>
      <c r="H30">
        <v>2769.77</v>
      </c>
      <c r="I30">
        <v>2769.77</v>
      </c>
      <c r="J30" t="s">
        <v>25</v>
      </c>
      <c r="K30" t="s">
        <v>18</v>
      </c>
      <c r="L30" t="s">
        <v>19</v>
      </c>
      <c r="M30" t="s">
        <v>39</v>
      </c>
      <c r="N30" s="3">
        <f t="shared" si="0"/>
        <v>0</v>
      </c>
      <c r="O30" s="4">
        <f t="shared" si="1"/>
        <v>22</v>
      </c>
      <c r="P30" s="4">
        <f t="shared" ca="1" si="2"/>
        <v>0</v>
      </c>
      <c r="Q30" s="2" t="str">
        <f t="shared" si="3"/>
        <v>Paid</v>
      </c>
      <c r="R30" t="str">
        <f t="shared" si="4"/>
        <v>Apr</v>
      </c>
      <c r="S30" t="str">
        <f t="shared" si="5"/>
        <v>2025-04</v>
      </c>
    </row>
    <row r="31" spans="1:19" x14ac:dyDescent="0.25">
      <c r="A31" t="s">
        <v>84</v>
      </c>
      <c r="B31" t="s">
        <v>48</v>
      </c>
      <c r="C31" s="1">
        <v>45763</v>
      </c>
      <c r="D31" s="1">
        <v>45793</v>
      </c>
      <c r="E31" s="1">
        <v>45834</v>
      </c>
      <c r="F31" t="s">
        <v>23</v>
      </c>
      <c r="G31" t="s">
        <v>69</v>
      </c>
      <c r="H31">
        <v>2345.08</v>
      </c>
      <c r="I31">
        <v>1127.6600000000001</v>
      </c>
      <c r="J31" t="s">
        <v>66</v>
      </c>
      <c r="K31" t="s">
        <v>26</v>
      </c>
      <c r="L31" t="s">
        <v>85</v>
      </c>
      <c r="M31" t="s">
        <v>32</v>
      </c>
      <c r="N31" s="3">
        <f t="shared" si="0"/>
        <v>1217.4199999999998</v>
      </c>
      <c r="O31" s="4">
        <f t="shared" si="1"/>
        <v>71</v>
      </c>
      <c r="P31" s="4">
        <f t="shared" ca="1" si="2"/>
        <v>304</v>
      </c>
      <c r="Q31" s="2" t="str">
        <f t="shared" ca="1" si="3"/>
        <v>90+</v>
      </c>
      <c r="R31" t="str">
        <f t="shared" si="4"/>
        <v>Apr</v>
      </c>
      <c r="S31" t="str">
        <f t="shared" si="5"/>
        <v>2025-04</v>
      </c>
    </row>
    <row r="32" spans="1:19" x14ac:dyDescent="0.25">
      <c r="A32" t="s">
        <v>86</v>
      </c>
      <c r="B32" t="s">
        <v>22</v>
      </c>
      <c r="C32" s="1">
        <v>45763</v>
      </c>
      <c r="D32" s="1">
        <v>45793</v>
      </c>
      <c r="E32" s="1">
        <v>45790</v>
      </c>
      <c r="F32" t="s">
        <v>45</v>
      </c>
      <c r="G32" t="s">
        <v>69</v>
      </c>
      <c r="H32">
        <v>2582.06</v>
      </c>
      <c r="I32">
        <v>2582.06</v>
      </c>
      <c r="J32" t="s">
        <v>25</v>
      </c>
      <c r="K32" t="s">
        <v>18</v>
      </c>
      <c r="L32" t="s">
        <v>19</v>
      </c>
      <c r="M32" t="s">
        <v>28</v>
      </c>
      <c r="N32" s="3">
        <f t="shared" si="0"/>
        <v>0</v>
      </c>
      <c r="O32" s="4">
        <f t="shared" si="1"/>
        <v>27</v>
      </c>
      <c r="P32" s="4">
        <f t="shared" ca="1" si="2"/>
        <v>0</v>
      </c>
      <c r="Q32" s="2" t="str">
        <f t="shared" si="3"/>
        <v>Paid</v>
      </c>
      <c r="R32" t="str">
        <f t="shared" si="4"/>
        <v>Apr</v>
      </c>
      <c r="S32" t="str">
        <f t="shared" si="5"/>
        <v>2025-04</v>
      </c>
    </row>
    <row r="33" spans="1:19" x14ac:dyDescent="0.25">
      <c r="A33" t="s">
        <v>87</v>
      </c>
      <c r="B33" t="s">
        <v>76</v>
      </c>
      <c r="C33" s="1">
        <v>45763</v>
      </c>
      <c r="D33" s="1">
        <v>45793</v>
      </c>
      <c r="E33" s="1">
        <v>45786</v>
      </c>
      <c r="F33" t="s">
        <v>59</v>
      </c>
      <c r="G33" t="s">
        <v>24</v>
      </c>
      <c r="H33">
        <v>3864.87</v>
      </c>
      <c r="I33">
        <v>3864.87</v>
      </c>
      <c r="J33" t="s">
        <v>25</v>
      </c>
      <c r="K33" t="s">
        <v>18</v>
      </c>
      <c r="L33" t="s">
        <v>19</v>
      </c>
      <c r="M33" t="s">
        <v>28</v>
      </c>
      <c r="N33" s="3">
        <f t="shared" si="0"/>
        <v>0</v>
      </c>
      <c r="O33" s="4">
        <f t="shared" si="1"/>
        <v>23</v>
      </c>
      <c r="P33" s="4">
        <f t="shared" ca="1" si="2"/>
        <v>0</v>
      </c>
      <c r="Q33" s="2" t="str">
        <f t="shared" si="3"/>
        <v>Paid</v>
      </c>
      <c r="R33" t="str">
        <f t="shared" si="4"/>
        <v>Apr</v>
      </c>
      <c r="S33" t="str">
        <f t="shared" si="5"/>
        <v>2025-04</v>
      </c>
    </row>
    <row r="34" spans="1:19" x14ac:dyDescent="0.25">
      <c r="A34" t="s">
        <v>88</v>
      </c>
      <c r="B34" t="s">
        <v>68</v>
      </c>
      <c r="C34" s="1">
        <v>45763</v>
      </c>
      <c r="D34" s="1">
        <v>45793</v>
      </c>
      <c r="E34" s="1">
        <v>45817</v>
      </c>
      <c r="F34" t="s">
        <v>15</v>
      </c>
      <c r="G34" t="s">
        <v>53</v>
      </c>
      <c r="H34">
        <v>3822.79</v>
      </c>
      <c r="I34">
        <v>3822.79</v>
      </c>
      <c r="J34" t="s">
        <v>25</v>
      </c>
      <c r="K34" t="s">
        <v>18</v>
      </c>
      <c r="L34" t="s">
        <v>19</v>
      </c>
      <c r="M34" t="s">
        <v>20</v>
      </c>
      <c r="N34" s="3">
        <f t="shared" si="0"/>
        <v>0</v>
      </c>
      <c r="O34" s="4">
        <f t="shared" si="1"/>
        <v>54</v>
      </c>
      <c r="P34" s="4">
        <f t="shared" ca="1" si="2"/>
        <v>0</v>
      </c>
      <c r="Q34" s="2" t="str">
        <f t="shared" si="3"/>
        <v>Paid</v>
      </c>
      <c r="R34" t="str">
        <f t="shared" si="4"/>
        <v>Apr</v>
      </c>
      <c r="S34" t="str">
        <f t="shared" si="5"/>
        <v>2025-04</v>
      </c>
    </row>
    <row r="35" spans="1:19" x14ac:dyDescent="0.25">
      <c r="A35" t="s">
        <v>89</v>
      </c>
      <c r="B35" t="s">
        <v>64</v>
      </c>
      <c r="C35" s="1">
        <v>45766</v>
      </c>
      <c r="D35" s="1">
        <v>45796</v>
      </c>
      <c r="E35" s="1">
        <v>45784</v>
      </c>
      <c r="F35" t="s">
        <v>23</v>
      </c>
      <c r="G35" t="s">
        <v>16</v>
      </c>
      <c r="H35">
        <v>2201.16</v>
      </c>
      <c r="I35">
        <v>2201.16</v>
      </c>
      <c r="J35" t="s">
        <v>25</v>
      </c>
      <c r="K35" t="s">
        <v>18</v>
      </c>
      <c r="L35" t="s">
        <v>19</v>
      </c>
      <c r="M35" t="s">
        <v>20</v>
      </c>
      <c r="N35" s="3">
        <f t="shared" si="0"/>
        <v>0</v>
      </c>
      <c r="O35" s="4">
        <f t="shared" si="1"/>
        <v>18</v>
      </c>
      <c r="P35" s="4">
        <f t="shared" ca="1" si="2"/>
        <v>0</v>
      </c>
      <c r="Q35" s="2" t="str">
        <f t="shared" si="3"/>
        <v>Paid</v>
      </c>
      <c r="R35" t="str">
        <f t="shared" si="4"/>
        <v>Apr</v>
      </c>
      <c r="S35" t="str">
        <f t="shared" si="5"/>
        <v>2025-04</v>
      </c>
    </row>
    <row r="36" spans="1:19" x14ac:dyDescent="0.25">
      <c r="A36" t="s">
        <v>90</v>
      </c>
      <c r="B36" t="s">
        <v>48</v>
      </c>
      <c r="C36" s="1">
        <v>45768</v>
      </c>
      <c r="D36" s="1">
        <v>45798</v>
      </c>
      <c r="E36" s="1">
        <v>45806</v>
      </c>
      <c r="F36" t="s">
        <v>59</v>
      </c>
      <c r="G36" t="s">
        <v>69</v>
      </c>
      <c r="H36">
        <v>3431.52</v>
      </c>
      <c r="I36">
        <v>3431.52</v>
      </c>
      <c r="J36" t="s">
        <v>25</v>
      </c>
      <c r="K36" t="s">
        <v>18</v>
      </c>
      <c r="L36" t="s">
        <v>19</v>
      </c>
      <c r="M36" t="s">
        <v>39</v>
      </c>
      <c r="N36" s="3">
        <f t="shared" si="0"/>
        <v>0</v>
      </c>
      <c r="O36" s="4">
        <f t="shared" si="1"/>
        <v>38</v>
      </c>
      <c r="P36" s="4">
        <f t="shared" ca="1" si="2"/>
        <v>0</v>
      </c>
      <c r="Q36" s="2" t="str">
        <f t="shared" si="3"/>
        <v>Paid</v>
      </c>
      <c r="R36" t="str">
        <f t="shared" si="4"/>
        <v>Apr</v>
      </c>
      <c r="S36" t="str">
        <f t="shared" si="5"/>
        <v>2025-04</v>
      </c>
    </row>
    <row r="37" spans="1:19" x14ac:dyDescent="0.25">
      <c r="A37" t="s">
        <v>91</v>
      </c>
      <c r="B37" t="s">
        <v>14</v>
      </c>
      <c r="C37" s="1">
        <v>45771</v>
      </c>
      <c r="D37" s="1">
        <v>45801</v>
      </c>
      <c r="E37" s="1">
        <v>45813</v>
      </c>
      <c r="F37" t="s">
        <v>30</v>
      </c>
      <c r="G37" t="s">
        <v>24</v>
      </c>
      <c r="H37">
        <v>3927.54</v>
      </c>
      <c r="I37">
        <v>3927.54</v>
      </c>
      <c r="J37" t="s">
        <v>25</v>
      </c>
      <c r="K37" t="s">
        <v>18</v>
      </c>
      <c r="L37" t="s">
        <v>19</v>
      </c>
      <c r="M37" t="s">
        <v>39</v>
      </c>
      <c r="N37" s="3">
        <f t="shared" si="0"/>
        <v>0</v>
      </c>
      <c r="O37" s="4">
        <f t="shared" si="1"/>
        <v>42</v>
      </c>
      <c r="P37" s="4">
        <f t="shared" ca="1" si="2"/>
        <v>0</v>
      </c>
      <c r="Q37" s="2" t="str">
        <f t="shared" si="3"/>
        <v>Paid</v>
      </c>
      <c r="R37" t="str">
        <f t="shared" si="4"/>
        <v>Apr</v>
      </c>
      <c r="S37" t="str">
        <f t="shared" si="5"/>
        <v>2025-04</v>
      </c>
    </row>
    <row r="38" spans="1:19" x14ac:dyDescent="0.25">
      <c r="A38" t="s">
        <v>92</v>
      </c>
      <c r="B38" t="s">
        <v>68</v>
      </c>
      <c r="C38" s="1">
        <v>45771</v>
      </c>
      <c r="D38" s="1">
        <v>45801</v>
      </c>
      <c r="E38" s="1">
        <v>45841</v>
      </c>
      <c r="F38" t="s">
        <v>45</v>
      </c>
      <c r="G38" t="s">
        <v>53</v>
      </c>
      <c r="H38">
        <v>6589.59</v>
      </c>
      <c r="I38">
        <v>2632.67</v>
      </c>
      <c r="J38" t="s">
        <v>66</v>
      </c>
      <c r="K38" t="s">
        <v>26</v>
      </c>
      <c r="L38" t="s">
        <v>93</v>
      </c>
      <c r="M38" t="s">
        <v>32</v>
      </c>
      <c r="N38" s="3">
        <f t="shared" si="0"/>
        <v>3956.92</v>
      </c>
      <c r="O38" s="4">
        <f t="shared" si="1"/>
        <v>70</v>
      </c>
      <c r="P38" s="4">
        <f t="shared" ca="1" si="2"/>
        <v>296</v>
      </c>
      <c r="Q38" s="2" t="str">
        <f t="shared" ca="1" si="3"/>
        <v>90+</v>
      </c>
      <c r="R38" t="str">
        <f t="shared" si="4"/>
        <v>Apr</v>
      </c>
      <c r="S38" t="str">
        <f t="shared" si="5"/>
        <v>2025-04</v>
      </c>
    </row>
    <row r="39" spans="1:19" x14ac:dyDescent="0.25">
      <c r="A39" t="s">
        <v>94</v>
      </c>
      <c r="B39" t="s">
        <v>76</v>
      </c>
      <c r="C39" s="1">
        <v>45777</v>
      </c>
      <c r="D39" s="1">
        <v>45807</v>
      </c>
      <c r="E39" s="1">
        <v>45807</v>
      </c>
      <c r="F39" t="s">
        <v>59</v>
      </c>
      <c r="G39" t="s">
        <v>31</v>
      </c>
      <c r="H39">
        <v>1667.45</v>
      </c>
      <c r="I39">
        <v>1397.57</v>
      </c>
      <c r="J39" t="s">
        <v>66</v>
      </c>
      <c r="K39" t="s">
        <v>26</v>
      </c>
      <c r="L39" t="s">
        <v>38</v>
      </c>
      <c r="M39" t="s">
        <v>28</v>
      </c>
      <c r="N39" s="3">
        <f t="shared" si="0"/>
        <v>269.88000000000011</v>
      </c>
      <c r="O39" s="4">
        <f t="shared" si="1"/>
        <v>30</v>
      </c>
      <c r="P39" s="4">
        <f t="shared" ca="1" si="2"/>
        <v>290</v>
      </c>
      <c r="Q39" s="2" t="str">
        <f t="shared" ca="1" si="3"/>
        <v>90+</v>
      </c>
      <c r="R39" t="str">
        <f t="shared" si="4"/>
        <v>Apr</v>
      </c>
      <c r="S39" t="str">
        <f t="shared" si="5"/>
        <v>2025-04</v>
      </c>
    </row>
    <row r="40" spans="1:19" x14ac:dyDescent="0.25">
      <c r="A40" t="s">
        <v>95</v>
      </c>
      <c r="B40" t="s">
        <v>96</v>
      </c>
      <c r="C40" s="1">
        <v>45777</v>
      </c>
      <c r="D40" s="1">
        <v>45807</v>
      </c>
      <c r="F40" t="s">
        <v>59</v>
      </c>
      <c r="G40" t="s">
        <v>69</v>
      </c>
      <c r="H40">
        <v>1556.91</v>
      </c>
      <c r="I40">
        <v>0</v>
      </c>
      <c r="J40" t="s">
        <v>17</v>
      </c>
      <c r="K40" t="s">
        <v>26</v>
      </c>
      <c r="L40" t="s">
        <v>27</v>
      </c>
      <c r="M40" t="s">
        <v>20</v>
      </c>
      <c r="N40" s="3">
        <f t="shared" si="0"/>
        <v>1556.91</v>
      </c>
      <c r="O40" s="4" t="str">
        <f t="shared" si="1"/>
        <v/>
      </c>
      <c r="P40" s="4">
        <f t="shared" ca="1" si="2"/>
        <v>290</v>
      </c>
      <c r="Q40" s="2" t="str">
        <f t="shared" ca="1" si="3"/>
        <v>90+</v>
      </c>
      <c r="R40" t="str">
        <f t="shared" si="4"/>
        <v>Apr</v>
      </c>
      <c r="S40" t="str">
        <f t="shared" si="5"/>
        <v>2025-04</v>
      </c>
    </row>
    <row r="41" spans="1:19" x14ac:dyDescent="0.25">
      <c r="A41" t="s">
        <v>97</v>
      </c>
      <c r="B41" t="s">
        <v>48</v>
      </c>
      <c r="C41" s="1">
        <v>45779</v>
      </c>
      <c r="D41" s="1">
        <v>45809</v>
      </c>
      <c r="E41" s="1">
        <v>45805</v>
      </c>
      <c r="F41" t="s">
        <v>23</v>
      </c>
      <c r="G41" t="s">
        <v>24</v>
      </c>
      <c r="H41">
        <v>4936.3599999999997</v>
      </c>
      <c r="I41">
        <v>2869.76</v>
      </c>
      <c r="J41" t="s">
        <v>66</v>
      </c>
      <c r="K41" t="s">
        <v>26</v>
      </c>
      <c r="L41" t="s">
        <v>85</v>
      </c>
      <c r="M41" t="s">
        <v>39</v>
      </c>
      <c r="N41" s="3">
        <f t="shared" si="0"/>
        <v>2066.5999999999995</v>
      </c>
      <c r="O41" s="4">
        <f t="shared" si="1"/>
        <v>26</v>
      </c>
      <c r="P41" s="4">
        <f t="shared" ca="1" si="2"/>
        <v>288</v>
      </c>
      <c r="Q41" s="2" t="str">
        <f t="shared" ca="1" si="3"/>
        <v>90+</v>
      </c>
      <c r="R41" t="str">
        <f t="shared" si="4"/>
        <v>May</v>
      </c>
      <c r="S41" t="str">
        <f t="shared" si="5"/>
        <v>2025-05</v>
      </c>
    </row>
    <row r="42" spans="1:19" x14ac:dyDescent="0.25">
      <c r="A42" t="s">
        <v>98</v>
      </c>
      <c r="B42" t="s">
        <v>99</v>
      </c>
      <c r="C42" s="1">
        <v>45779</v>
      </c>
      <c r="D42" s="1">
        <v>45809</v>
      </c>
      <c r="F42" t="s">
        <v>59</v>
      </c>
      <c r="G42" t="s">
        <v>69</v>
      </c>
      <c r="H42">
        <v>935.23</v>
      </c>
      <c r="I42">
        <v>688.62</v>
      </c>
      <c r="J42" t="s">
        <v>66</v>
      </c>
      <c r="K42" t="s">
        <v>18</v>
      </c>
      <c r="L42" t="s">
        <v>19</v>
      </c>
      <c r="M42" t="s">
        <v>20</v>
      </c>
      <c r="N42" s="3">
        <f t="shared" si="0"/>
        <v>246.61</v>
      </c>
      <c r="O42" s="4" t="str">
        <f t="shared" si="1"/>
        <v/>
      </c>
      <c r="P42" s="4">
        <f t="shared" ca="1" si="2"/>
        <v>288</v>
      </c>
      <c r="Q42" s="2" t="str">
        <f t="shared" ca="1" si="3"/>
        <v>90+</v>
      </c>
      <c r="R42" t="str">
        <f t="shared" si="4"/>
        <v>May</v>
      </c>
      <c r="S42" t="str">
        <f t="shared" si="5"/>
        <v>2025-05</v>
      </c>
    </row>
    <row r="43" spans="1:19" x14ac:dyDescent="0.25">
      <c r="A43" t="s">
        <v>100</v>
      </c>
      <c r="B43" t="s">
        <v>14</v>
      </c>
      <c r="C43" s="1">
        <v>45780</v>
      </c>
      <c r="D43" s="1">
        <v>45810</v>
      </c>
      <c r="F43" t="s">
        <v>30</v>
      </c>
      <c r="G43" t="s">
        <v>69</v>
      </c>
      <c r="H43">
        <v>1245.6500000000001</v>
      </c>
      <c r="I43">
        <v>0</v>
      </c>
      <c r="J43" t="s">
        <v>17</v>
      </c>
      <c r="K43" t="s">
        <v>26</v>
      </c>
      <c r="L43" t="s">
        <v>55</v>
      </c>
      <c r="M43" t="s">
        <v>32</v>
      </c>
      <c r="N43" s="3">
        <f t="shared" si="0"/>
        <v>1245.6500000000001</v>
      </c>
      <c r="O43" s="4" t="str">
        <f t="shared" si="1"/>
        <v/>
      </c>
      <c r="P43" s="4">
        <f t="shared" ca="1" si="2"/>
        <v>287</v>
      </c>
      <c r="Q43" s="2" t="str">
        <f t="shared" ca="1" si="3"/>
        <v>90+</v>
      </c>
      <c r="R43" t="str">
        <f t="shared" si="4"/>
        <v>May</v>
      </c>
      <c r="S43" t="str">
        <f t="shared" si="5"/>
        <v>2025-05</v>
      </c>
    </row>
    <row r="44" spans="1:19" x14ac:dyDescent="0.25">
      <c r="A44" t="s">
        <v>101</v>
      </c>
      <c r="B44" t="s">
        <v>44</v>
      </c>
      <c r="C44" s="1">
        <v>45781</v>
      </c>
      <c r="D44" s="1">
        <v>45811</v>
      </c>
      <c r="E44" s="1">
        <v>45827</v>
      </c>
      <c r="F44" t="s">
        <v>59</v>
      </c>
      <c r="G44" t="s">
        <v>24</v>
      </c>
      <c r="H44">
        <v>5718.3</v>
      </c>
      <c r="I44">
        <v>5718.3</v>
      </c>
      <c r="J44" t="s">
        <v>25</v>
      </c>
      <c r="K44" t="s">
        <v>18</v>
      </c>
      <c r="L44" t="s">
        <v>19</v>
      </c>
      <c r="M44" t="s">
        <v>20</v>
      </c>
      <c r="N44" s="3">
        <f t="shared" si="0"/>
        <v>0</v>
      </c>
      <c r="O44" s="4">
        <f t="shared" si="1"/>
        <v>46</v>
      </c>
      <c r="P44" s="4">
        <f t="shared" ca="1" si="2"/>
        <v>0</v>
      </c>
      <c r="Q44" s="2" t="str">
        <f t="shared" si="3"/>
        <v>Paid</v>
      </c>
      <c r="R44" t="str">
        <f t="shared" si="4"/>
        <v>May</v>
      </c>
      <c r="S44" t="str">
        <f t="shared" si="5"/>
        <v>2025-05</v>
      </c>
    </row>
    <row r="45" spans="1:19" x14ac:dyDescent="0.25">
      <c r="A45" t="s">
        <v>102</v>
      </c>
      <c r="B45" t="s">
        <v>58</v>
      </c>
      <c r="C45" s="1">
        <v>45783</v>
      </c>
      <c r="D45" s="1">
        <v>45813</v>
      </c>
      <c r="E45" s="1">
        <v>45813</v>
      </c>
      <c r="F45" t="s">
        <v>45</v>
      </c>
      <c r="G45" t="s">
        <v>37</v>
      </c>
      <c r="H45">
        <v>2994.86</v>
      </c>
      <c r="I45">
        <v>2994.86</v>
      </c>
      <c r="J45" t="s">
        <v>25</v>
      </c>
      <c r="K45" t="s">
        <v>18</v>
      </c>
      <c r="L45" t="s">
        <v>19</v>
      </c>
      <c r="M45" t="s">
        <v>28</v>
      </c>
      <c r="N45" s="3">
        <f t="shared" si="0"/>
        <v>0</v>
      </c>
      <c r="O45" s="4">
        <f t="shared" si="1"/>
        <v>30</v>
      </c>
      <c r="P45" s="4">
        <f t="shared" ca="1" si="2"/>
        <v>0</v>
      </c>
      <c r="Q45" s="2" t="str">
        <f t="shared" si="3"/>
        <v>Paid</v>
      </c>
      <c r="R45" t="str">
        <f t="shared" si="4"/>
        <v>May</v>
      </c>
      <c r="S45" t="str">
        <f t="shared" si="5"/>
        <v>2025-05</v>
      </c>
    </row>
    <row r="46" spans="1:19" x14ac:dyDescent="0.25">
      <c r="A46" t="s">
        <v>103</v>
      </c>
      <c r="B46" t="s">
        <v>68</v>
      </c>
      <c r="C46" s="1">
        <v>45784</v>
      </c>
      <c r="D46" s="1">
        <v>45814</v>
      </c>
      <c r="E46" s="1">
        <v>45800</v>
      </c>
      <c r="F46" t="s">
        <v>23</v>
      </c>
      <c r="G46" t="s">
        <v>16</v>
      </c>
      <c r="H46">
        <v>1595.48</v>
      </c>
      <c r="I46">
        <v>1595.48</v>
      </c>
      <c r="J46" t="s">
        <v>25</v>
      </c>
      <c r="K46" t="s">
        <v>18</v>
      </c>
      <c r="L46" t="s">
        <v>19</v>
      </c>
      <c r="M46" t="s">
        <v>32</v>
      </c>
      <c r="N46" s="3">
        <f t="shared" si="0"/>
        <v>0</v>
      </c>
      <c r="O46" s="4">
        <f t="shared" si="1"/>
        <v>16</v>
      </c>
      <c r="P46" s="4">
        <f t="shared" ca="1" si="2"/>
        <v>0</v>
      </c>
      <c r="Q46" s="2" t="str">
        <f t="shared" si="3"/>
        <v>Paid</v>
      </c>
      <c r="R46" t="str">
        <f t="shared" si="4"/>
        <v>May</v>
      </c>
      <c r="S46" t="str">
        <f t="shared" si="5"/>
        <v>2025-05</v>
      </c>
    </row>
    <row r="47" spans="1:19" x14ac:dyDescent="0.25">
      <c r="A47" t="s">
        <v>104</v>
      </c>
      <c r="B47" t="s">
        <v>96</v>
      </c>
      <c r="C47" s="1">
        <v>45787</v>
      </c>
      <c r="D47" s="1">
        <v>45817</v>
      </c>
      <c r="E47" s="1">
        <v>45840</v>
      </c>
      <c r="F47" t="s">
        <v>30</v>
      </c>
      <c r="G47" t="s">
        <v>69</v>
      </c>
      <c r="H47">
        <v>1889.83</v>
      </c>
      <c r="I47">
        <v>1889.83</v>
      </c>
      <c r="J47" t="s">
        <v>25</v>
      </c>
      <c r="K47" t="s">
        <v>18</v>
      </c>
      <c r="L47" t="s">
        <v>19</v>
      </c>
      <c r="M47" t="s">
        <v>28</v>
      </c>
      <c r="N47" s="3">
        <f t="shared" si="0"/>
        <v>0</v>
      </c>
      <c r="O47" s="4">
        <f t="shared" si="1"/>
        <v>53</v>
      </c>
      <c r="P47" s="4">
        <f t="shared" ca="1" si="2"/>
        <v>0</v>
      </c>
      <c r="Q47" s="2" t="str">
        <f t="shared" si="3"/>
        <v>Paid</v>
      </c>
      <c r="R47" t="str">
        <f t="shared" si="4"/>
        <v>May</v>
      </c>
      <c r="S47" t="str">
        <f t="shared" si="5"/>
        <v>2025-05</v>
      </c>
    </row>
    <row r="48" spans="1:19" x14ac:dyDescent="0.25">
      <c r="A48" t="s">
        <v>105</v>
      </c>
      <c r="B48" t="s">
        <v>41</v>
      </c>
      <c r="C48" s="1">
        <v>45787</v>
      </c>
      <c r="D48" s="1">
        <v>45817</v>
      </c>
      <c r="E48" s="1">
        <v>45796</v>
      </c>
      <c r="F48" t="s">
        <v>15</v>
      </c>
      <c r="G48" t="s">
        <v>16</v>
      </c>
      <c r="H48">
        <v>991.65</v>
      </c>
      <c r="I48">
        <v>991.65</v>
      </c>
      <c r="J48" t="s">
        <v>25</v>
      </c>
      <c r="K48" t="s">
        <v>18</v>
      </c>
      <c r="L48" t="s">
        <v>19</v>
      </c>
      <c r="M48" t="s">
        <v>20</v>
      </c>
      <c r="N48" s="3">
        <f t="shared" si="0"/>
        <v>0</v>
      </c>
      <c r="O48" s="4">
        <f t="shared" si="1"/>
        <v>9</v>
      </c>
      <c r="P48" s="4">
        <f t="shared" ca="1" si="2"/>
        <v>0</v>
      </c>
      <c r="Q48" s="2" t="str">
        <f t="shared" si="3"/>
        <v>Paid</v>
      </c>
      <c r="R48" t="str">
        <f t="shared" si="4"/>
        <v>May</v>
      </c>
      <c r="S48" t="str">
        <f t="shared" si="5"/>
        <v>2025-05</v>
      </c>
    </row>
    <row r="49" spans="1:19" x14ac:dyDescent="0.25">
      <c r="A49" t="s">
        <v>106</v>
      </c>
      <c r="B49" t="s">
        <v>96</v>
      </c>
      <c r="C49" s="1">
        <v>45793</v>
      </c>
      <c r="D49" s="1">
        <v>45823</v>
      </c>
      <c r="F49" t="s">
        <v>30</v>
      </c>
      <c r="G49" t="s">
        <v>69</v>
      </c>
      <c r="H49">
        <v>2457.1999999999998</v>
      </c>
      <c r="I49">
        <v>0</v>
      </c>
      <c r="J49" t="s">
        <v>17</v>
      </c>
      <c r="K49" t="s">
        <v>26</v>
      </c>
      <c r="L49" t="s">
        <v>55</v>
      </c>
      <c r="M49" t="s">
        <v>39</v>
      </c>
      <c r="N49" s="3">
        <f t="shared" si="0"/>
        <v>2457.1999999999998</v>
      </c>
      <c r="O49" s="4" t="str">
        <f t="shared" si="1"/>
        <v/>
      </c>
      <c r="P49" s="4">
        <f t="shared" ca="1" si="2"/>
        <v>274</v>
      </c>
      <c r="Q49" s="2" t="str">
        <f t="shared" ca="1" si="3"/>
        <v>90+</v>
      </c>
      <c r="R49" t="str">
        <f t="shared" si="4"/>
        <v>May</v>
      </c>
      <c r="S49" t="str">
        <f t="shared" si="5"/>
        <v>2025-05</v>
      </c>
    </row>
    <row r="50" spans="1:19" x14ac:dyDescent="0.25">
      <c r="A50" t="s">
        <v>107</v>
      </c>
      <c r="B50" t="s">
        <v>96</v>
      </c>
      <c r="C50" s="1">
        <v>45795</v>
      </c>
      <c r="D50" s="1">
        <v>45825</v>
      </c>
      <c r="E50" s="1">
        <v>45847</v>
      </c>
      <c r="F50" t="s">
        <v>59</v>
      </c>
      <c r="G50" t="s">
        <v>53</v>
      </c>
      <c r="H50">
        <v>5620.1</v>
      </c>
      <c r="I50">
        <v>5620.1</v>
      </c>
      <c r="J50" t="s">
        <v>25</v>
      </c>
      <c r="K50" t="s">
        <v>18</v>
      </c>
      <c r="L50" t="s">
        <v>19</v>
      </c>
      <c r="M50" t="s">
        <v>20</v>
      </c>
      <c r="N50" s="3">
        <f t="shared" si="0"/>
        <v>0</v>
      </c>
      <c r="O50" s="4">
        <f t="shared" si="1"/>
        <v>52</v>
      </c>
      <c r="P50" s="4">
        <f t="shared" ca="1" si="2"/>
        <v>0</v>
      </c>
      <c r="Q50" s="2" t="str">
        <f t="shared" si="3"/>
        <v>Paid</v>
      </c>
      <c r="R50" t="str">
        <f t="shared" si="4"/>
        <v>May</v>
      </c>
      <c r="S50" t="str">
        <f t="shared" si="5"/>
        <v>2025-05</v>
      </c>
    </row>
    <row r="51" spans="1:19" x14ac:dyDescent="0.25">
      <c r="A51" t="s">
        <v>108</v>
      </c>
      <c r="B51" t="s">
        <v>14</v>
      </c>
      <c r="C51" s="1">
        <v>45795</v>
      </c>
      <c r="D51" s="1">
        <v>45825</v>
      </c>
      <c r="E51" s="1">
        <v>45839</v>
      </c>
      <c r="F51" t="s">
        <v>30</v>
      </c>
      <c r="G51" t="s">
        <v>53</v>
      </c>
      <c r="H51">
        <v>3123.16</v>
      </c>
      <c r="I51">
        <v>2457.79</v>
      </c>
      <c r="J51" t="s">
        <v>66</v>
      </c>
      <c r="K51" t="s">
        <v>26</v>
      </c>
      <c r="L51" t="s">
        <v>93</v>
      </c>
      <c r="M51" t="s">
        <v>32</v>
      </c>
      <c r="N51" s="3">
        <f t="shared" si="0"/>
        <v>665.36999999999989</v>
      </c>
      <c r="O51" s="4">
        <f t="shared" si="1"/>
        <v>44</v>
      </c>
      <c r="P51" s="4">
        <f t="shared" ca="1" si="2"/>
        <v>272</v>
      </c>
      <c r="Q51" s="2" t="str">
        <f t="shared" ca="1" si="3"/>
        <v>90+</v>
      </c>
      <c r="R51" t="str">
        <f t="shared" si="4"/>
        <v>May</v>
      </c>
      <c r="S51" t="str">
        <f t="shared" si="5"/>
        <v>2025-05</v>
      </c>
    </row>
    <row r="52" spans="1:19" x14ac:dyDescent="0.25">
      <c r="A52" t="s">
        <v>109</v>
      </c>
      <c r="B52" t="s">
        <v>44</v>
      </c>
      <c r="C52" s="1">
        <v>45796</v>
      </c>
      <c r="D52" s="1">
        <v>45826</v>
      </c>
      <c r="E52" s="1">
        <v>45820</v>
      </c>
      <c r="F52" t="s">
        <v>30</v>
      </c>
      <c r="G52" t="s">
        <v>16</v>
      </c>
      <c r="H52">
        <v>763.39</v>
      </c>
      <c r="I52">
        <v>763.39</v>
      </c>
      <c r="J52" t="s">
        <v>25</v>
      </c>
      <c r="K52" t="s">
        <v>18</v>
      </c>
      <c r="L52" t="s">
        <v>19</v>
      </c>
      <c r="M52" t="s">
        <v>39</v>
      </c>
      <c r="N52" s="3">
        <f t="shared" si="0"/>
        <v>0</v>
      </c>
      <c r="O52" s="4">
        <f t="shared" si="1"/>
        <v>24</v>
      </c>
      <c r="P52" s="4">
        <f t="shared" ca="1" si="2"/>
        <v>0</v>
      </c>
      <c r="Q52" s="2" t="str">
        <f t="shared" si="3"/>
        <v>Paid</v>
      </c>
      <c r="R52" t="str">
        <f t="shared" si="4"/>
        <v>May</v>
      </c>
      <c r="S52" t="str">
        <f t="shared" si="5"/>
        <v>2025-05</v>
      </c>
    </row>
    <row r="53" spans="1:19" x14ac:dyDescent="0.25">
      <c r="A53" t="s">
        <v>110</v>
      </c>
      <c r="B53" t="s">
        <v>111</v>
      </c>
      <c r="C53" s="1">
        <v>45797</v>
      </c>
      <c r="D53" s="1">
        <v>45827</v>
      </c>
      <c r="E53" s="1">
        <v>45816</v>
      </c>
      <c r="F53" t="s">
        <v>45</v>
      </c>
      <c r="G53" t="s">
        <v>69</v>
      </c>
      <c r="H53">
        <v>3115.14</v>
      </c>
      <c r="I53">
        <v>3115.14</v>
      </c>
      <c r="J53" t="s">
        <v>25</v>
      </c>
      <c r="K53" t="s">
        <v>18</v>
      </c>
      <c r="L53" t="s">
        <v>19</v>
      </c>
      <c r="M53" t="s">
        <v>28</v>
      </c>
      <c r="N53" s="3">
        <f t="shared" si="0"/>
        <v>0</v>
      </c>
      <c r="O53" s="4">
        <f t="shared" si="1"/>
        <v>19</v>
      </c>
      <c r="P53" s="4">
        <f t="shared" ca="1" si="2"/>
        <v>0</v>
      </c>
      <c r="Q53" s="2" t="str">
        <f t="shared" si="3"/>
        <v>Paid</v>
      </c>
      <c r="R53" t="str">
        <f t="shared" si="4"/>
        <v>May</v>
      </c>
      <c r="S53" t="str">
        <f t="shared" si="5"/>
        <v>2025-05</v>
      </c>
    </row>
    <row r="54" spans="1:19" x14ac:dyDescent="0.25">
      <c r="A54" t="s">
        <v>112</v>
      </c>
      <c r="B54" t="s">
        <v>14</v>
      </c>
      <c r="C54" s="1">
        <v>45797</v>
      </c>
      <c r="D54" s="1">
        <v>45827</v>
      </c>
      <c r="E54" s="1">
        <v>45830</v>
      </c>
      <c r="F54" t="s">
        <v>23</v>
      </c>
      <c r="G54" t="s">
        <v>37</v>
      </c>
      <c r="H54">
        <v>7840.47</v>
      </c>
      <c r="I54">
        <v>7840.47</v>
      </c>
      <c r="J54" t="s">
        <v>25</v>
      </c>
      <c r="K54" t="s">
        <v>26</v>
      </c>
      <c r="L54" t="s">
        <v>113</v>
      </c>
      <c r="M54" t="s">
        <v>46</v>
      </c>
      <c r="N54" s="3">
        <f t="shared" si="0"/>
        <v>0</v>
      </c>
      <c r="O54" s="4">
        <f t="shared" si="1"/>
        <v>33</v>
      </c>
      <c r="P54" s="4">
        <f t="shared" ca="1" si="2"/>
        <v>0</v>
      </c>
      <c r="Q54" s="2" t="str">
        <f t="shared" si="3"/>
        <v>Paid</v>
      </c>
      <c r="R54" t="str">
        <f t="shared" si="4"/>
        <v>May</v>
      </c>
      <c r="S54" t="str">
        <f t="shared" si="5"/>
        <v>2025-05</v>
      </c>
    </row>
    <row r="55" spans="1:19" x14ac:dyDescent="0.25">
      <c r="A55" t="s">
        <v>114</v>
      </c>
      <c r="B55" t="s">
        <v>50</v>
      </c>
      <c r="C55" s="1">
        <v>45797</v>
      </c>
      <c r="D55" s="1">
        <v>45827</v>
      </c>
      <c r="F55" t="s">
        <v>45</v>
      </c>
      <c r="G55" t="s">
        <v>37</v>
      </c>
      <c r="H55">
        <v>3559.63</v>
      </c>
      <c r="I55">
        <v>0</v>
      </c>
      <c r="J55" t="s">
        <v>17</v>
      </c>
      <c r="K55" t="s">
        <v>18</v>
      </c>
      <c r="L55" t="s">
        <v>19</v>
      </c>
      <c r="M55" t="s">
        <v>28</v>
      </c>
      <c r="N55" s="3">
        <f t="shared" si="0"/>
        <v>3559.63</v>
      </c>
      <c r="O55" s="4" t="str">
        <f t="shared" si="1"/>
        <v/>
      </c>
      <c r="P55" s="4">
        <f t="shared" ca="1" si="2"/>
        <v>270</v>
      </c>
      <c r="Q55" s="2" t="str">
        <f t="shared" ca="1" si="3"/>
        <v>90+</v>
      </c>
      <c r="R55" t="str">
        <f t="shared" si="4"/>
        <v>May</v>
      </c>
      <c r="S55" t="str">
        <f t="shared" si="5"/>
        <v>2025-05</v>
      </c>
    </row>
    <row r="56" spans="1:19" x14ac:dyDescent="0.25">
      <c r="A56" t="s">
        <v>115</v>
      </c>
      <c r="B56" t="s">
        <v>76</v>
      </c>
      <c r="C56" s="1">
        <v>45798</v>
      </c>
      <c r="D56" s="1">
        <v>45828</v>
      </c>
      <c r="E56" s="1">
        <v>45866</v>
      </c>
      <c r="F56" t="s">
        <v>45</v>
      </c>
      <c r="G56" t="s">
        <v>31</v>
      </c>
      <c r="H56">
        <v>3507.11</v>
      </c>
      <c r="I56">
        <v>1896.5</v>
      </c>
      <c r="J56" t="s">
        <v>66</v>
      </c>
      <c r="K56" t="s">
        <v>26</v>
      </c>
      <c r="L56" t="s">
        <v>93</v>
      </c>
      <c r="M56" t="s">
        <v>42</v>
      </c>
      <c r="N56" s="3">
        <f t="shared" si="0"/>
        <v>1610.6100000000001</v>
      </c>
      <c r="O56" s="4">
        <f t="shared" si="1"/>
        <v>68</v>
      </c>
      <c r="P56" s="4">
        <f t="shared" ca="1" si="2"/>
        <v>269</v>
      </c>
      <c r="Q56" s="2" t="str">
        <f t="shared" ca="1" si="3"/>
        <v>90+</v>
      </c>
      <c r="R56" t="str">
        <f t="shared" si="4"/>
        <v>May</v>
      </c>
      <c r="S56" t="str">
        <f t="shared" si="5"/>
        <v>2025-05</v>
      </c>
    </row>
    <row r="57" spans="1:19" x14ac:dyDescent="0.25">
      <c r="A57" t="s">
        <v>116</v>
      </c>
      <c r="B57" t="s">
        <v>81</v>
      </c>
      <c r="C57" s="1">
        <v>45800</v>
      </c>
      <c r="D57" s="1">
        <v>45830</v>
      </c>
      <c r="E57" s="1">
        <v>45843</v>
      </c>
      <c r="F57" t="s">
        <v>30</v>
      </c>
      <c r="G57" t="s">
        <v>16</v>
      </c>
      <c r="H57">
        <v>1774.39</v>
      </c>
      <c r="I57">
        <v>519.62</v>
      </c>
      <c r="J57" t="s">
        <v>66</v>
      </c>
      <c r="K57" t="s">
        <v>18</v>
      </c>
      <c r="L57" t="s">
        <v>19</v>
      </c>
      <c r="M57" t="s">
        <v>32</v>
      </c>
      <c r="N57" s="3">
        <f t="shared" si="0"/>
        <v>1254.77</v>
      </c>
      <c r="O57" s="4">
        <f t="shared" si="1"/>
        <v>43</v>
      </c>
      <c r="P57" s="4">
        <f t="shared" ca="1" si="2"/>
        <v>267</v>
      </c>
      <c r="Q57" s="2" t="str">
        <f t="shared" ca="1" si="3"/>
        <v>90+</v>
      </c>
      <c r="R57" t="str">
        <f t="shared" si="4"/>
        <v>May</v>
      </c>
      <c r="S57" t="str">
        <f t="shared" si="5"/>
        <v>2025-05</v>
      </c>
    </row>
    <row r="58" spans="1:19" x14ac:dyDescent="0.25">
      <c r="A58" t="s">
        <v>117</v>
      </c>
      <c r="B58" t="s">
        <v>118</v>
      </c>
      <c r="C58" s="1">
        <v>45801</v>
      </c>
      <c r="D58" s="1">
        <v>45831</v>
      </c>
      <c r="E58" s="1">
        <v>45813</v>
      </c>
      <c r="F58" t="s">
        <v>30</v>
      </c>
      <c r="G58" t="s">
        <v>31</v>
      </c>
      <c r="H58">
        <v>3486.24</v>
      </c>
      <c r="I58">
        <v>3486.24</v>
      </c>
      <c r="J58" t="s">
        <v>25</v>
      </c>
      <c r="K58" t="s">
        <v>18</v>
      </c>
      <c r="L58" t="s">
        <v>19</v>
      </c>
      <c r="M58" t="s">
        <v>42</v>
      </c>
      <c r="N58" s="3">
        <f t="shared" si="0"/>
        <v>0</v>
      </c>
      <c r="O58" s="4">
        <f t="shared" si="1"/>
        <v>12</v>
      </c>
      <c r="P58" s="4">
        <f t="shared" ca="1" si="2"/>
        <v>0</v>
      </c>
      <c r="Q58" s="2" t="str">
        <f t="shared" si="3"/>
        <v>Paid</v>
      </c>
      <c r="R58" t="str">
        <f t="shared" si="4"/>
        <v>May</v>
      </c>
      <c r="S58" t="str">
        <f t="shared" si="5"/>
        <v>2025-05</v>
      </c>
    </row>
    <row r="59" spans="1:19" x14ac:dyDescent="0.25">
      <c r="A59" t="s">
        <v>119</v>
      </c>
      <c r="B59" t="s">
        <v>96</v>
      </c>
      <c r="C59" s="1">
        <v>45801</v>
      </c>
      <c r="D59" s="1">
        <v>45831</v>
      </c>
      <c r="E59" s="1">
        <v>45870</v>
      </c>
      <c r="F59" t="s">
        <v>45</v>
      </c>
      <c r="G59" t="s">
        <v>69</v>
      </c>
      <c r="H59">
        <v>1529.33</v>
      </c>
      <c r="I59">
        <v>942.61</v>
      </c>
      <c r="J59" t="s">
        <v>66</v>
      </c>
      <c r="K59" t="s">
        <v>18</v>
      </c>
      <c r="L59" t="s">
        <v>19</v>
      </c>
      <c r="M59" t="s">
        <v>20</v>
      </c>
      <c r="N59" s="3">
        <f t="shared" si="0"/>
        <v>586.71999999999991</v>
      </c>
      <c r="O59" s="4">
        <f t="shared" si="1"/>
        <v>69</v>
      </c>
      <c r="P59" s="4">
        <f t="shared" ca="1" si="2"/>
        <v>266</v>
      </c>
      <c r="Q59" s="2" t="str">
        <f t="shared" ca="1" si="3"/>
        <v>90+</v>
      </c>
      <c r="R59" t="str">
        <f t="shared" si="4"/>
        <v>May</v>
      </c>
      <c r="S59" t="str">
        <f t="shared" si="5"/>
        <v>2025-05</v>
      </c>
    </row>
    <row r="60" spans="1:19" x14ac:dyDescent="0.25">
      <c r="A60" t="s">
        <v>120</v>
      </c>
      <c r="B60" t="s">
        <v>71</v>
      </c>
      <c r="C60" s="1">
        <v>45807</v>
      </c>
      <c r="D60" s="1">
        <v>45837</v>
      </c>
      <c r="E60" s="1">
        <v>45851</v>
      </c>
      <c r="F60" t="s">
        <v>45</v>
      </c>
      <c r="G60" t="s">
        <v>31</v>
      </c>
      <c r="H60">
        <v>3539.51</v>
      </c>
      <c r="I60">
        <v>3539.51</v>
      </c>
      <c r="J60" t="s">
        <v>25</v>
      </c>
      <c r="K60" t="s">
        <v>18</v>
      </c>
      <c r="L60" t="s">
        <v>19</v>
      </c>
      <c r="M60" t="s">
        <v>39</v>
      </c>
      <c r="N60" s="3">
        <f t="shared" si="0"/>
        <v>0</v>
      </c>
      <c r="O60" s="4">
        <f t="shared" si="1"/>
        <v>44</v>
      </c>
      <c r="P60" s="4">
        <f t="shared" ca="1" si="2"/>
        <v>0</v>
      </c>
      <c r="Q60" s="2" t="str">
        <f t="shared" si="3"/>
        <v>Paid</v>
      </c>
      <c r="R60" t="str">
        <f t="shared" si="4"/>
        <v>May</v>
      </c>
      <c r="S60" t="str">
        <f t="shared" si="5"/>
        <v>2025-05</v>
      </c>
    </row>
    <row r="61" spans="1:19" x14ac:dyDescent="0.25">
      <c r="A61" t="s">
        <v>121</v>
      </c>
      <c r="B61" t="s">
        <v>118</v>
      </c>
      <c r="C61" s="1">
        <v>45808</v>
      </c>
      <c r="D61" s="1">
        <v>45838</v>
      </c>
      <c r="E61" s="1">
        <v>45836</v>
      </c>
      <c r="F61" t="s">
        <v>15</v>
      </c>
      <c r="G61" t="s">
        <v>16</v>
      </c>
      <c r="H61">
        <v>538.49</v>
      </c>
      <c r="I61">
        <v>538.49</v>
      </c>
      <c r="J61" t="s">
        <v>25</v>
      </c>
      <c r="K61" t="s">
        <v>18</v>
      </c>
      <c r="L61" t="s">
        <v>19</v>
      </c>
      <c r="M61" t="s">
        <v>46</v>
      </c>
      <c r="N61" s="3">
        <f t="shared" si="0"/>
        <v>0</v>
      </c>
      <c r="O61" s="4">
        <f t="shared" si="1"/>
        <v>28</v>
      </c>
      <c r="P61" s="4">
        <f t="shared" ca="1" si="2"/>
        <v>0</v>
      </c>
      <c r="Q61" s="2" t="str">
        <f t="shared" si="3"/>
        <v>Paid</v>
      </c>
      <c r="R61" t="str">
        <f t="shared" si="4"/>
        <v>May</v>
      </c>
      <c r="S61" t="str">
        <f t="shared" si="5"/>
        <v>2025-05</v>
      </c>
    </row>
    <row r="62" spans="1:19" x14ac:dyDescent="0.25">
      <c r="A62" t="s">
        <v>122</v>
      </c>
      <c r="B62" t="s">
        <v>52</v>
      </c>
      <c r="C62" s="1">
        <v>45808</v>
      </c>
      <c r="D62" s="1">
        <v>45838</v>
      </c>
      <c r="F62" t="s">
        <v>15</v>
      </c>
      <c r="G62" t="s">
        <v>31</v>
      </c>
      <c r="H62">
        <v>1009.39</v>
      </c>
      <c r="I62">
        <v>0</v>
      </c>
      <c r="J62" t="s">
        <v>17</v>
      </c>
      <c r="K62" t="s">
        <v>18</v>
      </c>
      <c r="L62" t="s">
        <v>19</v>
      </c>
      <c r="M62" t="s">
        <v>39</v>
      </c>
      <c r="N62" s="3">
        <f t="shared" si="0"/>
        <v>1009.39</v>
      </c>
      <c r="O62" s="4" t="str">
        <f t="shared" si="1"/>
        <v/>
      </c>
      <c r="P62" s="4">
        <f t="shared" ca="1" si="2"/>
        <v>259</v>
      </c>
      <c r="Q62" s="2" t="str">
        <f t="shared" ca="1" si="3"/>
        <v>90+</v>
      </c>
      <c r="R62" t="str">
        <f t="shared" si="4"/>
        <v>May</v>
      </c>
      <c r="S62" t="str">
        <f t="shared" si="5"/>
        <v>2025-05</v>
      </c>
    </row>
    <row r="63" spans="1:19" x14ac:dyDescent="0.25">
      <c r="A63" t="s">
        <v>123</v>
      </c>
      <c r="B63" t="s">
        <v>96</v>
      </c>
      <c r="C63" s="1">
        <v>45809</v>
      </c>
      <c r="D63" s="1">
        <v>45839</v>
      </c>
      <c r="E63" s="1">
        <v>45845</v>
      </c>
      <c r="F63" t="s">
        <v>15</v>
      </c>
      <c r="G63" t="s">
        <v>16</v>
      </c>
      <c r="H63">
        <v>525.72</v>
      </c>
      <c r="I63">
        <v>525.72</v>
      </c>
      <c r="J63" t="s">
        <v>25</v>
      </c>
      <c r="K63" t="s">
        <v>18</v>
      </c>
      <c r="L63" t="s">
        <v>19</v>
      </c>
      <c r="M63" t="s">
        <v>42</v>
      </c>
      <c r="N63" s="3">
        <f t="shared" si="0"/>
        <v>0</v>
      </c>
      <c r="O63" s="4">
        <f t="shared" si="1"/>
        <v>36</v>
      </c>
      <c r="P63" s="4">
        <f t="shared" ca="1" si="2"/>
        <v>0</v>
      </c>
      <c r="Q63" s="2" t="str">
        <f t="shared" si="3"/>
        <v>Paid</v>
      </c>
      <c r="R63" t="str">
        <f t="shared" si="4"/>
        <v>Jun</v>
      </c>
      <c r="S63" t="str">
        <f t="shared" si="5"/>
        <v>2025-06</v>
      </c>
    </row>
    <row r="64" spans="1:19" x14ac:dyDescent="0.25">
      <c r="A64" t="s">
        <v>124</v>
      </c>
      <c r="B64" t="s">
        <v>111</v>
      </c>
      <c r="C64" s="1">
        <v>45812</v>
      </c>
      <c r="D64" s="1">
        <v>45842</v>
      </c>
      <c r="E64" s="1">
        <v>45852</v>
      </c>
      <c r="F64" t="s">
        <v>23</v>
      </c>
      <c r="G64" t="s">
        <v>37</v>
      </c>
      <c r="H64">
        <v>1727.9</v>
      </c>
      <c r="I64">
        <v>1727.9</v>
      </c>
      <c r="J64" t="s">
        <v>25</v>
      </c>
      <c r="K64" t="s">
        <v>18</v>
      </c>
      <c r="L64" t="s">
        <v>19</v>
      </c>
      <c r="M64" t="s">
        <v>42</v>
      </c>
      <c r="N64" s="3">
        <f t="shared" si="0"/>
        <v>0</v>
      </c>
      <c r="O64" s="4">
        <f t="shared" si="1"/>
        <v>40</v>
      </c>
      <c r="P64" s="4">
        <f t="shared" ca="1" si="2"/>
        <v>0</v>
      </c>
      <c r="Q64" s="2" t="str">
        <f t="shared" si="3"/>
        <v>Paid</v>
      </c>
      <c r="R64" t="str">
        <f t="shared" si="4"/>
        <v>Jun</v>
      </c>
      <c r="S64" t="str">
        <f t="shared" si="5"/>
        <v>2025-06</v>
      </c>
    </row>
    <row r="65" spans="1:19" x14ac:dyDescent="0.25">
      <c r="A65" t="s">
        <v>125</v>
      </c>
      <c r="B65" t="s">
        <v>126</v>
      </c>
      <c r="C65" s="1">
        <v>45814</v>
      </c>
      <c r="D65" s="1">
        <v>45844</v>
      </c>
      <c r="F65" t="s">
        <v>15</v>
      </c>
      <c r="G65" t="s">
        <v>37</v>
      </c>
      <c r="H65">
        <v>8058.74</v>
      </c>
      <c r="I65">
        <v>0</v>
      </c>
      <c r="J65" t="s">
        <v>17</v>
      </c>
      <c r="K65" t="s">
        <v>26</v>
      </c>
      <c r="L65" t="s">
        <v>55</v>
      </c>
      <c r="M65" t="s">
        <v>28</v>
      </c>
      <c r="N65" s="3">
        <f t="shared" si="0"/>
        <v>8058.74</v>
      </c>
      <c r="O65" s="4" t="str">
        <f t="shared" si="1"/>
        <v/>
      </c>
      <c r="P65" s="4">
        <f t="shared" ca="1" si="2"/>
        <v>253</v>
      </c>
      <c r="Q65" s="2" t="str">
        <f t="shared" ca="1" si="3"/>
        <v>90+</v>
      </c>
      <c r="R65" t="str">
        <f t="shared" si="4"/>
        <v>Jun</v>
      </c>
      <c r="S65" t="str">
        <f t="shared" si="5"/>
        <v>2025-06</v>
      </c>
    </row>
    <row r="66" spans="1:19" x14ac:dyDescent="0.25">
      <c r="A66" t="s">
        <v>127</v>
      </c>
      <c r="B66" t="s">
        <v>52</v>
      </c>
      <c r="C66" s="1">
        <v>45814</v>
      </c>
      <c r="D66" s="1">
        <v>45844</v>
      </c>
      <c r="E66" s="1">
        <v>45854</v>
      </c>
      <c r="F66" t="s">
        <v>23</v>
      </c>
      <c r="G66" t="s">
        <v>31</v>
      </c>
      <c r="H66">
        <v>2175.12</v>
      </c>
      <c r="I66">
        <v>2175.12</v>
      </c>
      <c r="J66" t="s">
        <v>25</v>
      </c>
      <c r="K66" t="s">
        <v>18</v>
      </c>
      <c r="L66" t="s">
        <v>19</v>
      </c>
      <c r="M66" t="s">
        <v>42</v>
      </c>
      <c r="N66" s="3">
        <f t="shared" si="0"/>
        <v>0</v>
      </c>
      <c r="O66" s="4">
        <f t="shared" si="1"/>
        <v>40</v>
      </c>
      <c r="P66" s="4">
        <f t="shared" ca="1" si="2"/>
        <v>0</v>
      </c>
      <c r="Q66" s="2" t="str">
        <f t="shared" si="3"/>
        <v>Paid</v>
      </c>
      <c r="R66" t="str">
        <f t="shared" si="4"/>
        <v>Jun</v>
      </c>
      <c r="S66" t="str">
        <f t="shared" si="5"/>
        <v>2025-06</v>
      </c>
    </row>
    <row r="67" spans="1:19" x14ac:dyDescent="0.25">
      <c r="A67" t="s">
        <v>128</v>
      </c>
      <c r="B67" t="s">
        <v>64</v>
      </c>
      <c r="C67" s="1">
        <v>45818</v>
      </c>
      <c r="D67" s="1">
        <v>45848</v>
      </c>
      <c r="E67" s="1">
        <v>45847</v>
      </c>
      <c r="F67" t="s">
        <v>15</v>
      </c>
      <c r="G67" t="s">
        <v>37</v>
      </c>
      <c r="H67">
        <v>5100.6099999999997</v>
      </c>
      <c r="I67">
        <v>5100.6099999999997</v>
      </c>
      <c r="J67" t="s">
        <v>25</v>
      </c>
      <c r="K67" t="s">
        <v>18</v>
      </c>
      <c r="L67" t="s">
        <v>19</v>
      </c>
      <c r="M67" t="s">
        <v>20</v>
      </c>
      <c r="N67" s="3">
        <f t="shared" ref="N67:N130" si="6">H67-I67</f>
        <v>0</v>
      </c>
      <c r="O67" s="4">
        <f t="shared" ref="O67:O130" si="7">IF(E67="","",E67-C67)</f>
        <v>29</v>
      </c>
      <c r="P67" s="4">
        <f t="shared" ref="P67:P130" ca="1" si="8">IF(N67&lt;=0,0,TODAY()-D67)</f>
        <v>0</v>
      </c>
      <c r="Q67" s="2" t="str">
        <f t="shared" ref="Q67:Q130" si="9">IF(N67&lt;=0,"Paid",IF(P67&lt;=0,"Current",IF(P67&lt;=30,"1-30",IF(P67&lt;=60,"31-60",IF(P67&lt;=90,"61-90","90+")))))</f>
        <v>Paid</v>
      </c>
      <c r="R67" t="str">
        <f t="shared" ref="R67:R130" si="10">TEXT(C67,"mmm")</f>
        <v>Jun</v>
      </c>
      <c r="S67" t="str">
        <f t="shared" ref="S67:S130" si="11">TEXT(C67,"yyyy-mm")</f>
        <v>2025-06</v>
      </c>
    </row>
    <row r="68" spans="1:19" x14ac:dyDescent="0.25">
      <c r="A68" t="s">
        <v>129</v>
      </c>
      <c r="B68" t="s">
        <v>36</v>
      </c>
      <c r="C68" s="1">
        <v>45819</v>
      </c>
      <c r="D68" s="1">
        <v>45849</v>
      </c>
      <c r="F68" t="s">
        <v>23</v>
      </c>
      <c r="G68" t="s">
        <v>16</v>
      </c>
      <c r="H68">
        <v>1433.84</v>
      </c>
      <c r="I68">
        <v>0</v>
      </c>
      <c r="J68" t="s">
        <v>17</v>
      </c>
      <c r="K68" t="s">
        <v>26</v>
      </c>
      <c r="L68" t="s">
        <v>27</v>
      </c>
      <c r="M68" t="s">
        <v>42</v>
      </c>
      <c r="N68" s="3">
        <f t="shared" si="6"/>
        <v>1433.84</v>
      </c>
      <c r="O68" s="4" t="str">
        <f t="shared" si="7"/>
        <v/>
      </c>
      <c r="P68" s="4">
        <f t="shared" ca="1" si="8"/>
        <v>248</v>
      </c>
      <c r="Q68" s="2" t="str">
        <f t="shared" ca="1" si="9"/>
        <v>90+</v>
      </c>
      <c r="R68" t="str">
        <f t="shared" si="10"/>
        <v>Jun</v>
      </c>
      <c r="S68" t="str">
        <f t="shared" si="11"/>
        <v>2025-06</v>
      </c>
    </row>
    <row r="69" spans="1:19" x14ac:dyDescent="0.25">
      <c r="A69" t="s">
        <v>130</v>
      </c>
      <c r="B69" t="s">
        <v>99</v>
      </c>
      <c r="C69" s="1">
        <v>45820</v>
      </c>
      <c r="D69" s="1">
        <v>45850</v>
      </c>
      <c r="E69" s="1">
        <v>45865</v>
      </c>
      <c r="F69" t="s">
        <v>15</v>
      </c>
      <c r="G69" t="s">
        <v>16</v>
      </c>
      <c r="H69">
        <v>1831.58</v>
      </c>
      <c r="I69">
        <v>1831.58</v>
      </c>
      <c r="J69" t="s">
        <v>25</v>
      </c>
      <c r="K69" t="s">
        <v>18</v>
      </c>
      <c r="L69" t="s">
        <v>19</v>
      </c>
      <c r="M69" t="s">
        <v>39</v>
      </c>
      <c r="N69" s="3">
        <f t="shared" si="6"/>
        <v>0</v>
      </c>
      <c r="O69" s="4">
        <f t="shared" si="7"/>
        <v>45</v>
      </c>
      <c r="P69" s="4">
        <f t="shared" ca="1" si="8"/>
        <v>0</v>
      </c>
      <c r="Q69" s="2" t="str">
        <f t="shared" si="9"/>
        <v>Paid</v>
      </c>
      <c r="R69" t="str">
        <f t="shared" si="10"/>
        <v>Jun</v>
      </c>
      <c r="S69" t="str">
        <f t="shared" si="11"/>
        <v>2025-06</v>
      </c>
    </row>
    <row r="70" spans="1:19" x14ac:dyDescent="0.25">
      <c r="A70" t="s">
        <v>131</v>
      </c>
      <c r="B70" t="s">
        <v>36</v>
      </c>
      <c r="C70" s="1">
        <v>45822</v>
      </c>
      <c r="D70" s="1">
        <v>45852</v>
      </c>
      <c r="E70" s="1">
        <v>45866</v>
      </c>
      <c r="F70" t="s">
        <v>45</v>
      </c>
      <c r="G70" t="s">
        <v>31</v>
      </c>
      <c r="H70">
        <v>4284.25</v>
      </c>
      <c r="I70">
        <v>4284.25</v>
      </c>
      <c r="J70" t="s">
        <v>25</v>
      </c>
      <c r="K70" t="s">
        <v>18</v>
      </c>
      <c r="L70" t="s">
        <v>19</v>
      </c>
      <c r="M70" t="s">
        <v>39</v>
      </c>
      <c r="N70" s="3">
        <f t="shared" si="6"/>
        <v>0</v>
      </c>
      <c r="O70" s="4">
        <f t="shared" si="7"/>
        <v>44</v>
      </c>
      <c r="P70" s="4">
        <f t="shared" ca="1" si="8"/>
        <v>0</v>
      </c>
      <c r="Q70" s="2" t="str">
        <f t="shared" si="9"/>
        <v>Paid</v>
      </c>
      <c r="R70" t="str">
        <f t="shared" si="10"/>
        <v>Jun</v>
      </c>
      <c r="S70" t="str">
        <f t="shared" si="11"/>
        <v>2025-06</v>
      </c>
    </row>
    <row r="71" spans="1:19" x14ac:dyDescent="0.25">
      <c r="A71" t="s">
        <v>132</v>
      </c>
      <c r="B71" t="s">
        <v>81</v>
      </c>
      <c r="C71" s="1">
        <v>45824</v>
      </c>
      <c r="D71" s="1">
        <v>45854</v>
      </c>
      <c r="E71" s="1">
        <v>45871</v>
      </c>
      <c r="F71" t="s">
        <v>59</v>
      </c>
      <c r="G71" t="s">
        <v>24</v>
      </c>
      <c r="H71">
        <v>2574.5</v>
      </c>
      <c r="I71">
        <v>2574.5</v>
      </c>
      <c r="J71" t="s">
        <v>25</v>
      </c>
      <c r="K71" t="s">
        <v>18</v>
      </c>
      <c r="L71" t="s">
        <v>19</v>
      </c>
      <c r="M71" t="s">
        <v>46</v>
      </c>
      <c r="N71" s="3">
        <f t="shared" si="6"/>
        <v>0</v>
      </c>
      <c r="O71" s="4">
        <f t="shared" si="7"/>
        <v>47</v>
      </c>
      <c r="P71" s="4">
        <f t="shared" ca="1" si="8"/>
        <v>0</v>
      </c>
      <c r="Q71" s="2" t="str">
        <f t="shared" si="9"/>
        <v>Paid</v>
      </c>
      <c r="R71" t="str">
        <f t="shared" si="10"/>
        <v>Jun</v>
      </c>
      <c r="S71" t="str">
        <f t="shared" si="11"/>
        <v>2025-06</v>
      </c>
    </row>
    <row r="72" spans="1:19" x14ac:dyDescent="0.25">
      <c r="A72" t="s">
        <v>133</v>
      </c>
      <c r="B72" t="s">
        <v>111</v>
      </c>
      <c r="C72" s="1">
        <v>45825</v>
      </c>
      <c r="D72" s="1">
        <v>45855</v>
      </c>
      <c r="E72" s="1">
        <v>45874</v>
      </c>
      <c r="F72" t="s">
        <v>15</v>
      </c>
      <c r="G72" t="s">
        <v>24</v>
      </c>
      <c r="H72">
        <v>1766.1</v>
      </c>
      <c r="I72">
        <v>1766.1</v>
      </c>
      <c r="J72" t="s">
        <v>25</v>
      </c>
      <c r="K72" t="s">
        <v>18</v>
      </c>
      <c r="L72" t="s">
        <v>19</v>
      </c>
      <c r="M72" t="s">
        <v>28</v>
      </c>
      <c r="N72" s="3">
        <f t="shared" si="6"/>
        <v>0</v>
      </c>
      <c r="O72" s="4">
        <f t="shared" si="7"/>
        <v>49</v>
      </c>
      <c r="P72" s="4">
        <f t="shared" ca="1" si="8"/>
        <v>0</v>
      </c>
      <c r="Q72" s="2" t="str">
        <f t="shared" si="9"/>
        <v>Paid</v>
      </c>
      <c r="R72" t="str">
        <f t="shared" si="10"/>
        <v>Jun</v>
      </c>
      <c r="S72" t="str">
        <f t="shared" si="11"/>
        <v>2025-06</v>
      </c>
    </row>
    <row r="73" spans="1:19" x14ac:dyDescent="0.25">
      <c r="A73" t="s">
        <v>134</v>
      </c>
      <c r="B73" t="s">
        <v>50</v>
      </c>
      <c r="C73" s="1">
        <v>45828</v>
      </c>
      <c r="D73" s="1">
        <v>45858</v>
      </c>
      <c r="F73" t="s">
        <v>23</v>
      </c>
      <c r="G73" t="s">
        <v>37</v>
      </c>
      <c r="H73">
        <v>5429.12</v>
      </c>
      <c r="I73">
        <v>2910.41</v>
      </c>
      <c r="J73" t="s">
        <v>66</v>
      </c>
      <c r="K73" t="s">
        <v>26</v>
      </c>
      <c r="L73" t="s">
        <v>93</v>
      </c>
      <c r="M73" t="s">
        <v>28</v>
      </c>
      <c r="N73" s="3">
        <f t="shared" si="6"/>
        <v>2518.71</v>
      </c>
      <c r="O73" s="4" t="str">
        <f t="shared" si="7"/>
        <v/>
      </c>
      <c r="P73" s="4">
        <f t="shared" ca="1" si="8"/>
        <v>239</v>
      </c>
      <c r="Q73" s="2" t="str">
        <f t="shared" ca="1" si="9"/>
        <v>90+</v>
      </c>
      <c r="R73" t="str">
        <f t="shared" si="10"/>
        <v>Jun</v>
      </c>
      <c r="S73" t="str">
        <f t="shared" si="11"/>
        <v>2025-06</v>
      </c>
    </row>
    <row r="74" spans="1:19" x14ac:dyDescent="0.25">
      <c r="A74" t="s">
        <v>135</v>
      </c>
      <c r="B74" t="s">
        <v>71</v>
      </c>
      <c r="C74" s="1">
        <v>45830</v>
      </c>
      <c r="D74" s="1">
        <v>45860</v>
      </c>
      <c r="E74" s="1">
        <v>45862</v>
      </c>
      <c r="F74" t="s">
        <v>45</v>
      </c>
      <c r="G74" t="s">
        <v>16</v>
      </c>
      <c r="H74">
        <v>1212.77</v>
      </c>
      <c r="I74">
        <v>1212.77</v>
      </c>
      <c r="J74" t="s">
        <v>25</v>
      </c>
      <c r="K74" t="s">
        <v>18</v>
      </c>
      <c r="L74" t="s">
        <v>19</v>
      </c>
      <c r="M74" t="s">
        <v>46</v>
      </c>
      <c r="N74" s="3">
        <f t="shared" si="6"/>
        <v>0</v>
      </c>
      <c r="O74" s="4">
        <f t="shared" si="7"/>
        <v>32</v>
      </c>
      <c r="P74" s="4">
        <f t="shared" ca="1" si="8"/>
        <v>0</v>
      </c>
      <c r="Q74" s="2" t="str">
        <f t="shared" si="9"/>
        <v>Paid</v>
      </c>
      <c r="R74" t="str">
        <f t="shared" si="10"/>
        <v>Jun</v>
      </c>
      <c r="S74" t="str">
        <f t="shared" si="11"/>
        <v>2025-06</v>
      </c>
    </row>
    <row r="75" spans="1:19" x14ac:dyDescent="0.25">
      <c r="A75" t="s">
        <v>136</v>
      </c>
      <c r="B75" t="s">
        <v>96</v>
      </c>
      <c r="C75" s="1">
        <v>45830</v>
      </c>
      <c r="D75" s="1">
        <v>45860</v>
      </c>
      <c r="E75" s="1">
        <v>45902</v>
      </c>
      <c r="F75" t="s">
        <v>59</v>
      </c>
      <c r="G75" t="s">
        <v>53</v>
      </c>
      <c r="H75">
        <v>1902.94</v>
      </c>
      <c r="I75">
        <v>950.53</v>
      </c>
      <c r="J75" t="s">
        <v>66</v>
      </c>
      <c r="K75" t="s">
        <v>18</v>
      </c>
      <c r="L75" t="s">
        <v>19</v>
      </c>
      <c r="M75" t="s">
        <v>20</v>
      </c>
      <c r="N75" s="3">
        <f t="shared" si="6"/>
        <v>952.41000000000008</v>
      </c>
      <c r="O75" s="4">
        <f t="shared" si="7"/>
        <v>72</v>
      </c>
      <c r="P75" s="4">
        <f t="shared" ca="1" si="8"/>
        <v>237</v>
      </c>
      <c r="Q75" s="2" t="str">
        <f t="shared" ca="1" si="9"/>
        <v>90+</v>
      </c>
      <c r="R75" t="str">
        <f t="shared" si="10"/>
        <v>Jun</v>
      </c>
      <c r="S75" t="str">
        <f t="shared" si="11"/>
        <v>2025-06</v>
      </c>
    </row>
    <row r="76" spans="1:19" x14ac:dyDescent="0.25">
      <c r="A76" t="s">
        <v>137</v>
      </c>
      <c r="B76" t="s">
        <v>50</v>
      </c>
      <c r="C76" s="1">
        <v>45832</v>
      </c>
      <c r="D76" s="1">
        <v>45862</v>
      </c>
      <c r="F76" t="s">
        <v>59</v>
      </c>
      <c r="G76" t="s">
        <v>53</v>
      </c>
      <c r="H76">
        <v>1132.74</v>
      </c>
      <c r="I76">
        <v>0</v>
      </c>
      <c r="J76" t="s">
        <v>17</v>
      </c>
      <c r="K76" t="s">
        <v>26</v>
      </c>
      <c r="L76" t="s">
        <v>34</v>
      </c>
      <c r="M76" t="s">
        <v>46</v>
      </c>
      <c r="N76" s="3">
        <f t="shared" si="6"/>
        <v>1132.74</v>
      </c>
      <c r="O76" s="4" t="str">
        <f t="shared" si="7"/>
        <v/>
      </c>
      <c r="P76" s="4">
        <f t="shared" ca="1" si="8"/>
        <v>235</v>
      </c>
      <c r="Q76" s="2" t="str">
        <f t="shared" ca="1" si="9"/>
        <v>90+</v>
      </c>
      <c r="R76" t="str">
        <f t="shared" si="10"/>
        <v>Jun</v>
      </c>
      <c r="S76" t="str">
        <f t="shared" si="11"/>
        <v>2025-06</v>
      </c>
    </row>
    <row r="77" spans="1:19" x14ac:dyDescent="0.25">
      <c r="A77" t="s">
        <v>138</v>
      </c>
      <c r="B77" t="s">
        <v>64</v>
      </c>
      <c r="C77" s="1">
        <v>45832</v>
      </c>
      <c r="D77" s="1">
        <v>45862</v>
      </c>
      <c r="E77" s="1">
        <v>45847</v>
      </c>
      <c r="F77" t="s">
        <v>45</v>
      </c>
      <c r="G77" t="s">
        <v>37</v>
      </c>
      <c r="H77">
        <v>1904.36</v>
      </c>
      <c r="I77">
        <v>1904.36</v>
      </c>
      <c r="J77" t="s">
        <v>25</v>
      </c>
      <c r="K77" t="s">
        <v>18</v>
      </c>
      <c r="L77" t="s">
        <v>19</v>
      </c>
      <c r="M77" t="s">
        <v>42</v>
      </c>
      <c r="N77" s="3">
        <f t="shared" si="6"/>
        <v>0</v>
      </c>
      <c r="O77" s="4">
        <f t="shared" si="7"/>
        <v>15</v>
      </c>
      <c r="P77" s="4">
        <f t="shared" ca="1" si="8"/>
        <v>0</v>
      </c>
      <c r="Q77" s="2" t="str">
        <f t="shared" si="9"/>
        <v>Paid</v>
      </c>
      <c r="R77" t="str">
        <f t="shared" si="10"/>
        <v>Jun</v>
      </c>
      <c r="S77" t="str">
        <f t="shared" si="11"/>
        <v>2025-06</v>
      </c>
    </row>
    <row r="78" spans="1:19" x14ac:dyDescent="0.25">
      <c r="A78" t="s">
        <v>139</v>
      </c>
      <c r="B78" t="s">
        <v>41</v>
      </c>
      <c r="C78" s="1">
        <v>45832</v>
      </c>
      <c r="D78" s="1">
        <v>45862</v>
      </c>
      <c r="E78" s="1">
        <v>45883</v>
      </c>
      <c r="F78" t="s">
        <v>45</v>
      </c>
      <c r="G78" t="s">
        <v>37</v>
      </c>
      <c r="H78">
        <v>5985.87</v>
      </c>
      <c r="I78">
        <v>1600.45</v>
      </c>
      <c r="J78" t="s">
        <v>66</v>
      </c>
      <c r="K78" t="s">
        <v>26</v>
      </c>
      <c r="L78" t="s">
        <v>55</v>
      </c>
      <c r="M78" t="s">
        <v>39</v>
      </c>
      <c r="N78" s="3">
        <f t="shared" si="6"/>
        <v>4385.42</v>
      </c>
      <c r="O78" s="4">
        <f t="shared" si="7"/>
        <v>51</v>
      </c>
      <c r="P78" s="4">
        <f t="shared" ca="1" si="8"/>
        <v>235</v>
      </c>
      <c r="Q78" s="2" t="str">
        <f t="shared" ca="1" si="9"/>
        <v>90+</v>
      </c>
      <c r="R78" t="str">
        <f t="shared" si="10"/>
        <v>Jun</v>
      </c>
      <c r="S78" t="str">
        <f t="shared" si="11"/>
        <v>2025-06</v>
      </c>
    </row>
    <row r="79" spans="1:19" x14ac:dyDescent="0.25">
      <c r="A79" t="s">
        <v>140</v>
      </c>
      <c r="B79" t="s">
        <v>99</v>
      </c>
      <c r="C79" s="1">
        <v>45832</v>
      </c>
      <c r="D79" s="1">
        <v>45862</v>
      </c>
      <c r="F79" t="s">
        <v>59</v>
      </c>
      <c r="G79" t="s">
        <v>53</v>
      </c>
      <c r="H79">
        <v>2929.7</v>
      </c>
      <c r="I79">
        <v>2200.42</v>
      </c>
      <c r="J79" t="s">
        <v>66</v>
      </c>
      <c r="K79" t="s">
        <v>26</v>
      </c>
      <c r="L79" t="s">
        <v>93</v>
      </c>
      <c r="M79" t="s">
        <v>46</v>
      </c>
      <c r="N79" s="3">
        <f t="shared" si="6"/>
        <v>729.27999999999975</v>
      </c>
      <c r="O79" s="4" t="str">
        <f t="shared" si="7"/>
        <v/>
      </c>
      <c r="P79" s="4">
        <f t="shared" ca="1" si="8"/>
        <v>235</v>
      </c>
      <c r="Q79" s="2" t="str">
        <f t="shared" ca="1" si="9"/>
        <v>90+</v>
      </c>
      <c r="R79" t="str">
        <f t="shared" si="10"/>
        <v>Jun</v>
      </c>
      <c r="S79" t="str">
        <f t="shared" si="11"/>
        <v>2025-06</v>
      </c>
    </row>
    <row r="80" spans="1:19" x14ac:dyDescent="0.25">
      <c r="A80" t="s">
        <v>141</v>
      </c>
      <c r="B80" t="s">
        <v>41</v>
      </c>
      <c r="C80" s="1">
        <v>45835</v>
      </c>
      <c r="D80" s="1">
        <v>45865</v>
      </c>
      <c r="E80" s="1">
        <v>45869</v>
      </c>
      <c r="F80" t="s">
        <v>15</v>
      </c>
      <c r="G80" t="s">
        <v>24</v>
      </c>
      <c r="H80">
        <v>5206.7700000000004</v>
      </c>
      <c r="I80">
        <v>5206.7700000000004</v>
      </c>
      <c r="J80" t="s">
        <v>25</v>
      </c>
      <c r="K80" t="s">
        <v>18</v>
      </c>
      <c r="L80" t="s">
        <v>19</v>
      </c>
      <c r="M80" t="s">
        <v>28</v>
      </c>
      <c r="N80" s="3">
        <f t="shared" si="6"/>
        <v>0</v>
      </c>
      <c r="O80" s="4">
        <f t="shared" si="7"/>
        <v>34</v>
      </c>
      <c r="P80" s="4">
        <f t="shared" ca="1" si="8"/>
        <v>0</v>
      </c>
      <c r="Q80" s="2" t="str">
        <f t="shared" si="9"/>
        <v>Paid</v>
      </c>
      <c r="R80" t="str">
        <f t="shared" si="10"/>
        <v>Jun</v>
      </c>
      <c r="S80" t="str">
        <f t="shared" si="11"/>
        <v>2025-06</v>
      </c>
    </row>
    <row r="81" spans="1:19" x14ac:dyDescent="0.25">
      <c r="A81" t="s">
        <v>142</v>
      </c>
      <c r="B81" t="s">
        <v>52</v>
      </c>
      <c r="C81" s="1">
        <v>45837</v>
      </c>
      <c r="D81" s="1">
        <v>45867</v>
      </c>
      <c r="E81" s="1">
        <v>45868</v>
      </c>
      <c r="F81" t="s">
        <v>15</v>
      </c>
      <c r="G81" t="s">
        <v>53</v>
      </c>
      <c r="H81">
        <v>4066.24</v>
      </c>
      <c r="I81">
        <v>3324.49</v>
      </c>
      <c r="J81" t="s">
        <v>66</v>
      </c>
      <c r="K81" t="s">
        <v>18</v>
      </c>
      <c r="L81" t="s">
        <v>19</v>
      </c>
      <c r="M81" t="s">
        <v>20</v>
      </c>
      <c r="N81" s="3">
        <f t="shared" si="6"/>
        <v>741.75</v>
      </c>
      <c r="O81" s="4">
        <f t="shared" si="7"/>
        <v>31</v>
      </c>
      <c r="P81" s="4">
        <f t="shared" ca="1" si="8"/>
        <v>230</v>
      </c>
      <c r="Q81" s="2" t="str">
        <f t="shared" ca="1" si="9"/>
        <v>90+</v>
      </c>
      <c r="R81" t="str">
        <f t="shared" si="10"/>
        <v>Jun</v>
      </c>
      <c r="S81" t="str">
        <f t="shared" si="11"/>
        <v>2025-06</v>
      </c>
    </row>
    <row r="82" spans="1:19" x14ac:dyDescent="0.25">
      <c r="A82" t="s">
        <v>143</v>
      </c>
      <c r="B82" t="s">
        <v>14</v>
      </c>
      <c r="C82" s="1">
        <v>45838</v>
      </c>
      <c r="D82" s="1">
        <v>45868</v>
      </c>
      <c r="E82" s="1">
        <v>45882</v>
      </c>
      <c r="F82" t="s">
        <v>30</v>
      </c>
      <c r="G82" t="s">
        <v>24</v>
      </c>
      <c r="H82">
        <v>1835.46</v>
      </c>
      <c r="I82">
        <v>1835.46</v>
      </c>
      <c r="J82" t="s">
        <v>25</v>
      </c>
      <c r="K82" t="s">
        <v>18</v>
      </c>
      <c r="L82" t="s">
        <v>19</v>
      </c>
      <c r="M82" t="s">
        <v>20</v>
      </c>
      <c r="N82" s="3">
        <f t="shared" si="6"/>
        <v>0</v>
      </c>
      <c r="O82" s="4">
        <f t="shared" si="7"/>
        <v>44</v>
      </c>
      <c r="P82" s="4">
        <f t="shared" ca="1" si="8"/>
        <v>0</v>
      </c>
      <c r="Q82" s="2" t="str">
        <f t="shared" si="9"/>
        <v>Paid</v>
      </c>
      <c r="R82" t="str">
        <f t="shared" si="10"/>
        <v>Jun</v>
      </c>
      <c r="S82" t="str">
        <f t="shared" si="11"/>
        <v>2025-06</v>
      </c>
    </row>
    <row r="83" spans="1:19" x14ac:dyDescent="0.25">
      <c r="A83" t="s">
        <v>144</v>
      </c>
      <c r="B83" t="s">
        <v>64</v>
      </c>
      <c r="C83" s="1">
        <v>45838</v>
      </c>
      <c r="D83" s="1">
        <v>45868</v>
      </c>
      <c r="F83" t="s">
        <v>59</v>
      </c>
      <c r="G83" t="s">
        <v>53</v>
      </c>
      <c r="H83">
        <v>978.46</v>
      </c>
      <c r="I83">
        <v>715.59</v>
      </c>
      <c r="J83" t="s">
        <v>66</v>
      </c>
      <c r="K83" t="s">
        <v>26</v>
      </c>
      <c r="L83" t="s">
        <v>38</v>
      </c>
      <c r="M83" t="s">
        <v>20</v>
      </c>
      <c r="N83" s="3">
        <f t="shared" si="6"/>
        <v>262.87</v>
      </c>
      <c r="O83" s="4" t="str">
        <f t="shared" si="7"/>
        <v/>
      </c>
      <c r="P83" s="4">
        <f t="shared" ca="1" si="8"/>
        <v>229</v>
      </c>
      <c r="Q83" s="2" t="str">
        <f t="shared" ca="1" si="9"/>
        <v>90+</v>
      </c>
      <c r="R83" t="str">
        <f t="shared" si="10"/>
        <v>Jun</v>
      </c>
      <c r="S83" t="str">
        <f t="shared" si="11"/>
        <v>2025-06</v>
      </c>
    </row>
    <row r="84" spans="1:19" x14ac:dyDescent="0.25">
      <c r="A84" t="s">
        <v>145</v>
      </c>
      <c r="B84" t="s">
        <v>50</v>
      </c>
      <c r="C84" s="1">
        <v>45839</v>
      </c>
      <c r="D84" s="1">
        <v>45869</v>
      </c>
      <c r="E84" s="1">
        <v>45851</v>
      </c>
      <c r="F84" t="s">
        <v>23</v>
      </c>
      <c r="G84" t="s">
        <v>53</v>
      </c>
      <c r="H84">
        <v>7618.04</v>
      </c>
      <c r="I84">
        <v>7618.04</v>
      </c>
      <c r="J84" t="s">
        <v>25</v>
      </c>
      <c r="K84" t="s">
        <v>18</v>
      </c>
      <c r="L84" t="s">
        <v>19</v>
      </c>
      <c r="M84" t="s">
        <v>39</v>
      </c>
      <c r="N84" s="3">
        <f t="shared" si="6"/>
        <v>0</v>
      </c>
      <c r="O84" s="4">
        <f t="shared" si="7"/>
        <v>12</v>
      </c>
      <c r="P84" s="4">
        <f t="shared" ca="1" si="8"/>
        <v>0</v>
      </c>
      <c r="Q84" s="2" t="str">
        <f t="shared" si="9"/>
        <v>Paid</v>
      </c>
      <c r="R84" t="str">
        <f t="shared" si="10"/>
        <v>Jul</v>
      </c>
      <c r="S84" t="str">
        <f t="shared" si="11"/>
        <v>2025-07</v>
      </c>
    </row>
    <row r="85" spans="1:19" x14ac:dyDescent="0.25">
      <c r="A85" t="s">
        <v>146</v>
      </c>
      <c r="B85" t="s">
        <v>68</v>
      </c>
      <c r="C85" s="1">
        <v>45840</v>
      </c>
      <c r="D85" s="1">
        <v>45870</v>
      </c>
      <c r="E85" s="1">
        <v>45851</v>
      </c>
      <c r="F85" t="s">
        <v>59</v>
      </c>
      <c r="G85" t="s">
        <v>69</v>
      </c>
      <c r="H85">
        <v>2241.23</v>
      </c>
      <c r="I85">
        <v>2241.23</v>
      </c>
      <c r="J85" t="s">
        <v>25</v>
      </c>
      <c r="K85" t="s">
        <v>18</v>
      </c>
      <c r="L85" t="s">
        <v>19</v>
      </c>
      <c r="M85" t="s">
        <v>46</v>
      </c>
      <c r="N85" s="3">
        <f t="shared" si="6"/>
        <v>0</v>
      </c>
      <c r="O85" s="4">
        <f t="shared" si="7"/>
        <v>11</v>
      </c>
      <c r="P85" s="4">
        <f t="shared" ca="1" si="8"/>
        <v>0</v>
      </c>
      <c r="Q85" s="2" t="str">
        <f t="shared" si="9"/>
        <v>Paid</v>
      </c>
      <c r="R85" t="str">
        <f t="shared" si="10"/>
        <v>Jul</v>
      </c>
      <c r="S85" t="str">
        <f t="shared" si="11"/>
        <v>2025-07</v>
      </c>
    </row>
    <row r="86" spans="1:19" x14ac:dyDescent="0.25">
      <c r="A86" t="s">
        <v>147</v>
      </c>
      <c r="B86" t="s">
        <v>22</v>
      </c>
      <c r="C86" s="1">
        <v>45841</v>
      </c>
      <c r="D86" s="1">
        <v>45871</v>
      </c>
      <c r="E86" s="1">
        <v>45870</v>
      </c>
      <c r="F86" t="s">
        <v>23</v>
      </c>
      <c r="G86" t="s">
        <v>24</v>
      </c>
      <c r="H86">
        <v>1896.06</v>
      </c>
      <c r="I86">
        <v>1896.06</v>
      </c>
      <c r="J86" t="s">
        <v>25</v>
      </c>
      <c r="K86" t="s">
        <v>18</v>
      </c>
      <c r="L86" t="s">
        <v>19</v>
      </c>
      <c r="M86" t="s">
        <v>39</v>
      </c>
      <c r="N86" s="3">
        <f t="shared" si="6"/>
        <v>0</v>
      </c>
      <c r="O86" s="4">
        <f t="shared" si="7"/>
        <v>29</v>
      </c>
      <c r="P86" s="4">
        <f t="shared" ca="1" si="8"/>
        <v>0</v>
      </c>
      <c r="Q86" s="2" t="str">
        <f t="shared" si="9"/>
        <v>Paid</v>
      </c>
      <c r="R86" t="str">
        <f t="shared" si="10"/>
        <v>Jul</v>
      </c>
      <c r="S86" t="str">
        <f t="shared" si="11"/>
        <v>2025-07</v>
      </c>
    </row>
    <row r="87" spans="1:19" x14ac:dyDescent="0.25">
      <c r="A87" t="s">
        <v>148</v>
      </c>
      <c r="B87" t="s">
        <v>52</v>
      </c>
      <c r="C87" s="1">
        <v>45844</v>
      </c>
      <c r="D87" s="1">
        <v>45874</v>
      </c>
      <c r="E87" s="1">
        <v>45867</v>
      </c>
      <c r="F87" t="s">
        <v>59</v>
      </c>
      <c r="G87" t="s">
        <v>53</v>
      </c>
      <c r="H87">
        <v>4030.02</v>
      </c>
      <c r="I87">
        <v>4030.02</v>
      </c>
      <c r="J87" t="s">
        <v>25</v>
      </c>
      <c r="K87" t="s">
        <v>18</v>
      </c>
      <c r="L87" t="s">
        <v>19</v>
      </c>
      <c r="M87" t="s">
        <v>39</v>
      </c>
      <c r="N87" s="3">
        <f t="shared" si="6"/>
        <v>0</v>
      </c>
      <c r="O87" s="4">
        <f t="shared" si="7"/>
        <v>23</v>
      </c>
      <c r="P87" s="4">
        <f t="shared" ca="1" si="8"/>
        <v>0</v>
      </c>
      <c r="Q87" s="2" t="str">
        <f t="shared" si="9"/>
        <v>Paid</v>
      </c>
      <c r="R87" t="str">
        <f t="shared" si="10"/>
        <v>Jul</v>
      </c>
      <c r="S87" t="str">
        <f t="shared" si="11"/>
        <v>2025-07</v>
      </c>
    </row>
    <row r="88" spans="1:19" x14ac:dyDescent="0.25">
      <c r="A88" t="s">
        <v>149</v>
      </c>
      <c r="B88" t="s">
        <v>14</v>
      </c>
      <c r="C88" s="1">
        <v>45845</v>
      </c>
      <c r="D88" s="1">
        <v>45875</v>
      </c>
      <c r="E88" s="1">
        <v>45894</v>
      </c>
      <c r="F88" t="s">
        <v>15</v>
      </c>
      <c r="G88" t="s">
        <v>69</v>
      </c>
      <c r="H88">
        <v>2634.24</v>
      </c>
      <c r="I88">
        <v>1873.36</v>
      </c>
      <c r="J88" t="s">
        <v>66</v>
      </c>
      <c r="K88" t="s">
        <v>26</v>
      </c>
      <c r="L88" t="s">
        <v>55</v>
      </c>
      <c r="M88" t="s">
        <v>28</v>
      </c>
      <c r="N88" s="3">
        <f t="shared" si="6"/>
        <v>760.87999999999988</v>
      </c>
      <c r="O88" s="4">
        <f t="shared" si="7"/>
        <v>49</v>
      </c>
      <c r="P88" s="4">
        <f t="shared" ca="1" si="8"/>
        <v>222</v>
      </c>
      <c r="Q88" s="2" t="str">
        <f t="shared" ca="1" si="9"/>
        <v>90+</v>
      </c>
      <c r="R88" t="str">
        <f t="shared" si="10"/>
        <v>Jul</v>
      </c>
      <c r="S88" t="str">
        <f t="shared" si="11"/>
        <v>2025-07</v>
      </c>
    </row>
    <row r="89" spans="1:19" x14ac:dyDescent="0.25">
      <c r="A89" t="s">
        <v>150</v>
      </c>
      <c r="B89" t="s">
        <v>81</v>
      </c>
      <c r="C89" s="1">
        <v>45849</v>
      </c>
      <c r="D89" s="1">
        <v>45879</v>
      </c>
      <c r="E89" s="1">
        <v>45862</v>
      </c>
      <c r="F89" t="s">
        <v>30</v>
      </c>
      <c r="G89" t="s">
        <v>16</v>
      </c>
      <c r="H89">
        <v>1842.6</v>
      </c>
      <c r="I89">
        <v>1842.6</v>
      </c>
      <c r="J89" t="s">
        <v>25</v>
      </c>
      <c r="K89" t="s">
        <v>26</v>
      </c>
      <c r="L89" t="s">
        <v>113</v>
      </c>
      <c r="M89" t="s">
        <v>39</v>
      </c>
      <c r="N89" s="3">
        <f t="shared" si="6"/>
        <v>0</v>
      </c>
      <c r="O89" s="4">
        <f t="shared" si="7"/>
        <v>13</v>
      </c>
      <c r="P89" s="4">
        <f t="shared" ca="1" si="8"/>
        <v>0</v>
      </c>
      <c r="Q89" s="2" t="str">
        <f t="shared" si="9"/>
        <v>Paid</v>
      </c>
      <c r="R89" t="str">
        <f t="shared" si="10"/>
        <v>Jul</v>
      </c>
      <c r="S89" t="str">
        <f t="shared" si="11"/>
        <v>2025-07</v>
      </c>
    </row>
    <row r="90" spans="1:19" x14ac:dyDescent="0.25">
      <c r="A90" t="s">
        <v>151</v>
      </c>
      <c r="B90" t="s">
        <v>44</v>
      </c>
      <c r="C90" s="1">
        <v>45851</v>
      </c>
      <c r="D90" s="1">
        <v>45881</v>
      </c>
      <c r="E90" s="1">
        <v>45891</v>
      </c>
      <c r="F90" t="s">
        <v>15</v>
      </c>
      <c r="G90" t="s">
        <v>31</v>
      </c>
      <c r="H90">
        <v>2097.6</v>
      </c>
      <c r="I90">
        <v>2097.6</v>
      </c>
      <c r="J90" t="s">
        <v>25</v>
      </c>
      <c r="K90" t="s">
        <v>18</v>
      </c>
      <c r="L90" t="s">
        <v>19</v>
      </c>
      <c r="M90" t="s">
        <v>39</v>
      </c>
      <c r="N90" s="3">
        <f t="shared" si="6"/>
        <v>0</v>
      </c>
      <c r="O90" s="4">
        <f t="shared" si="7"/>
        <v>40</v>
      </c>
      <c r="P90" s="4">
        <f t="shared" ca="1" si="8"/>
        <v>0</v>
      </c>
      <c r="Q90" s="2" t="str">
        <f t="shared" si="9"/>
        <v>Paid</v>
      </c>
      <c r="R90" t="str">
        <f t="shared" si="10"/>
        <v>Jul</v>
      </c>
      <c r="S90" t="str">
        <f t="shared" si="11"/>
        <v>2025-07</v>
      </c>
    </row>
    <row r="91" spans="1:19" x14ac:dyDescent="0.25">
      <c r="A91" t="s">
        <v>152</v>
      </c>
      <c r="B91" t="s">
        <v>126</v>
      </c>
      <c r="C91" s="1">
        <v>45852</v>
      </c>
      <c r="D91" s="1">
        <v>45882</v>
      </c>
      <c r="E91" s="1">
        <v>45888</v>
      </c>
      <c r="F91" t="s">
        <v>45</v>
      </c>
      <c r="G91" t="s">
        <v>16</v>
      </c>
      <c r="H91">
        <v>1832.5</v>
      </c>
      <c r="I91">
        <v>1185.8499999999999</v>
      </c>
      <c r="J91" t="s">
        <v>66</v>
      </c>
      <c r="K91" t="s">
        <v>18</v>
      </c>
      <c r="L91" t="s">
        <v>19</v>
      </c>
      <c r="M91" t="s">
        <v>20</v>
      </c>
      <c r="N91" s="3">
        <f t="shared" si="6"/>
        <v>646.65000000000009</v>
      </c>
      <c r="O91" s="4">
        <f t="shared" si="7"/>
        <v>36</v>
      </c>
      <c r="P91" s="4">
        <f t="shared" ca="1" si="8"/>
        <v>215</v>
      </c>
      <c r="Q91" s="2" t="str">
        <f t="shared" ca="1" si="9"/>
        <v>90+</v>
      </c>
      <c r="R91" t="str">
        <f t="shared" si="10"/>
        <v>Jul</v>
      </c>
      <c r="S91" t="str">
        <f t="shared" si="11"/>
        <v>2025-07</v>
      </c>
    </row>
    <row r="92" spans="1:19" x14ac:dyDescent="0.25">
      <c r="A92" t="s">
        <v>153</v>
      </c>
      <c r="B92" t="s">
        <v>64</v>
      </c>
      <c r="C92" s="1">
        <v>45852</v>
      </c>
      <c r="D92" s="1">
        <v>45882</v>
      </c>
      <c r="E92" s="1">
        <v>45883</v>
      </c>
      <c r="F92" t="s">
        <v>30</v>
      </c>
      <c r="G92" t="s">
        <v>31</v>
      </c>
      <c r="H92">
        <v>680.97</v>
      </c>
      <c r="I92">
        <v>680.97</v>
      </c>
      <c r="J92" t="s">
        <v>25</v>
      </c>
      <c r="K92" t="s">
        <v>18</v>
      </c>
      <c r="L92" t="s">
        <v>19</v>
      </c>
      <c r="M92" t="s">
        <v>42</v>
      </c>
      <c r="N92" s="3">
        <f t="shared" si="6"/>
        <v>0</v>
      </c>
      <c r="O92" s="4">
        <f t="shared" si="7"/>
        <v>31</v>
      </c>
      <c r="P92" s="4">
        <f t="shared" ca="1" si="8"/>
        <v>0</v>
      </c>
      <c r="Q92" s="2" t="str">
        <f t="shared" si="9"/>
        <v>Paid</v>
      </c>
      <c r="R92" t="str">
        <f t="shared" si="10"/>
        <v>Jul</v>
      </c>
      <c r="S92" t="str">
        <f t="shared" si="11"/>
        <v>2025-07</v>
      </c>
    </row>
    <row r="93" spans="1:19" x14ac:dyDescent="0.25">
      <c r="A93" t="s">
        <v>154</v>
      </c>
      <c r="B93" t="s">
        <v>22</v>
      </c>
      <c r="C93" s="1">
        <v>45853</v>
      </c>
      <c r="D93" s="1">
        <v>45883</v>
      </c>
      <c r="E93" s="1">
        <v>45873</v>
      </c>
      <c r="F93" t="s">
        <v>59</v>
      </c>
      <c r="G93" t="s">
        <v>24</v>
      </c>
      <c r="H93">
        <v>2727.47</v>
      </c>
      <c r="I93">
        <v>2727.47</v>
      </c>
      <c r="J93" t="s">
        <v>25</v>
      </c>
      <c r="K93" t="s">
        <v>18</v>
      </c>
      <c r="L93" t="s">
        <v>19</v>
      </c>
      <c r="M93" t="s">
        <v>46</v>
      </c>
      <c r="N93" s="3">
        <f t="shared" si="6"/>
        <v>0</v>
      </c>
      <c r="O93" s="4">
        <f t="shared" si="7"/>
        <v>20</v>
      </c>
      <c r="P93" s="4">
        <f t="shared" ca="1" si="8"/>
        <v>0</v>
      </c>
      <c r="Q93" s="2" t="str">
        <f t="shared" si="9"/>
        <v>Paid</v>
      </c>
      <c r="R93" t="str">
        <f t="shared" si="10"/>
        <v>Jul</v>
      </c>
      <c r="S93" t="str">
        <f t="shared" si="11"/>
        <v>2025-07</v>
      </c>
    </row>
    <row r="94" spans="1:19" x14ac:dyDescent="0.25">
      <c r="A94" t="s">
        <v>155</v>
      </c>
      <c r="B94" t="s">
        <v>126</v>
      </c>
      <c r="C94" s="1">
        <v>45856</v>
      </c>
      <c r="D94" s="1">
        <v>45886</v>
      </c>
      <c r="E94" s="1">
        <v>45911</v>
      </c>
      <c r="F94" t="s">
        <v>15</v>
      </c>
      <c r="G94" t="s">
        <v>37</v>
      </c>
      <c r="H94">
        <v>4614.5200000000004</v>
      </c>
      <c r="I94">
        <v>4614.5200000000004</v>
      </c>
      <c r="J94" t="s">
        <v>25</v>
      </c>
      <c r="K94" t="s">
        <v>18</v>
      </c>
      <c r="L94" t="s">
        <v>19</v>
      </c>
      <c r="M94" t="s">
        <v>20</v>
      </c>
      <c r="N94" s="3">
        <f t="shared" si="6"/>
        <v>0</v>
      </c>
      <c r="O94" s="4">
        <f t="shared" si="7"/>
        <v>55</v>
      </c>
      <c r="P94" s="4">
        <f t="shared" ca="1" si="8"/>
        <v>0</v>
      </c>
      <c r="Q94" s="2" t="str">
        <f t="shared" si="9"/>
        <v>Paid</v>
      </c>
      <c r="R94" t="str">
        <f t="shared" si="10"/>
        <v>Jul</v>
      </c>
      <c r="S94" t="str">
        <f t="shared" si="11"/>
        <v>2025-07</v>
      </c>
    </row>
    <row r="95" spans="1:19" x14ac:dyDescent="0.25">
      <c r="A95" t="s">
        <v>156</v>
      </c>
      <c r="B95" t="s">
        <v>126</v>
      </c>
      <c r="C95" s="1">
        <v>45857</v>
      </c>
      <c r="D95" s="1">
        <v>45887</v>
      </c>
      <c r="F95" t="s">
        <v>23</v>
      </c>
      <c r="G95" t="s">
        <v>37</v>
      </c>
      <c r="H95">
        <v>7270.83</v>
      </c>
      <c r="I95">
        <v>0</v>
      </c>
      <c r="J95" t="s">
        <v>17</v>
      </c>
      <c r="K95" t="s">
        <v>18</v>
      </c>
      <c r="L95" t="s">
        <v>19</v>
      </c>
      <c r="M95" t="s">
        <v>28</v>
      </c>
      <c r="N95" s="3">
        <f t="shared" si="6"/>
        <v>7270.83</v>
      </c>
      <c r="O95" s="4" t="str">
        <f t="shared" si="7"/>
        <v/>
      </c>
      <c r="P95" s="4">
        <f t="shared" ca="1" si="8"/>
        <v>210</v>
      </c>
      <c r="Q95" s="2" t="str">
        <f t="shared" ca="1" si="9"/>
        <v>90+</v>
      </c>
      <c r="R95" t="str">
        <f t="shared" si="10"/>
        <v>Jul</v>
      </c>
      <c r="S95" t="str">
        <f t="shared" si="11"/>
        <v>2025-07</v>
      </c>
    </row>
    <row r="96" spans="1:19" x14ac:dyDescent="0.25">
      <c r="A96" t="s">
        <v>157</v>
      </c>
      <c r="B96" t="s">
        <v>50</v>
      </c>
      <c r="C96" s="1">
        <v>45857</v>
      </c>
      <c r="D96" s="1">
        <v>45887</v>
      </c>
      <c r="F96" t="s">
        <v>23</v>
      </c>
      <c r="G96" t="s">
        <v>37</v>
      </c>
      <c r="H96">
        <v>8061.77</v>
      </c>
      <c r="I96">
        <v>0</v>
      </c>
      <c r="J96" t="s">
        <v>17</v>
      </c>
      <c r="K96" t="s">
        <v>26</v>
      </c>
      <c r="L96" t="s">
        <v>55</v>
      </c>
      <c r="M96" t="s">
        <v>39</v>
      </c>
      <c r="N96" s="3">
        <f t="shared" si="6"/>
        <v>8061.77</v>
      </c>
      <c r="O96" s="4" t="str">
        <f t="shared" si="7"/>
        <v/>
      </c>
      <c r="P96" s="4">
        <f t="shared" ca="1" si="8"/>
        <v>210</v>
      </c>
      <c r="Q96" s="2" t="str">
        <f t="shared" ca="1" si="9"/>
        <v>90+</v>
      </c>
      <c r="R96" t="str">
        <f t="shared" si="10"/>
        <v>Jul</v>
      </c>
      <c r="S96" t="str">
        <f t="shared" si="11"/>
        <v>2025-07</v>
      </c>
    </row>
    <row r="97" spans="1:19" x14ac:dyDescent="0.25">
      <c r="A97" t="s">
        <v>158</v>
      </c>
      <c r="B97" t="s">
        <v>71</v>
      </c>
      <c r="C97" s="1">
        <v>45859</v>
      </c>
      <c r="D97" s="1">
        <v>45889</v>
      </c>
      <c r="E97" s="1">
        <v>45898</v>
      </c>
      <c r="F97" t="s">
        <v>45</v>
      </c>
      <c r="G97" t="s">
        <v>53</v>
      </c>
      <c r="H97">
        <v>4902.92</v>
      </c>
      <c r="I97">
        <v>3729.02</v>
      </c>
      <c r="J97" t="s">
        <v>66</v>
      </c>
      <c r="K97" t="s">
        <v>26</v>
      </c>
      <c r="L97" t="s">
        <v>38</v>
      </c>
      <c r="M97" t="s">
        <v>20</v>
      </c>
      <c r="N97" s="3">
        <f t="shared" si="6"/>
        <v>1173.9000000000001</v>
      </c>
      <c r="O97" s="4">
        <f t="shared" si="7"/>
        <v>39</v>
      </c>
      <c r="P97" s="4">
        <f t="shared" ca="1" si="8"/>
        <v>208</v>
      </c>
      <c r="Q97" s="2" t="str">
        <f t="shared" ca="1" si="9"/>
        <v>90+</v>
      </c>
      <c r="R97" t="str">
        <f t="shared" si="10"/>
        <v>Jul</v>
      </c>
      <c r="S97" t="str">
        <f t="shared" si="11"/>
        <v>2025-07</v>
      </c>
    </row>
    <row r="98" spans="1:19" x14ac:dyDescent="0.25">
      <c r="A98" t="s">
        <v>159</v>
      </c>
      <c r="B98" t="s">
        <v>96</v>
      </c>
      <c r="C98" s="1">
        <v>45861</v>
      </c>
      <c r="D98" s="1">
        <v>45891</v>
      </c>
      <c r="E98" s="1">
        <v>45886</v>
      </c>
      <c r="F98" t="s">
        <v>23</v>
      </c>
      <c r="G98" t="s">
        <v>53</v>
      </c>
      <c r="H98">
        <v>2437.88</v>
      </c>
      <c r="I98">
        <v>2437.88</v>
      </c>
      <c r="J98" t="s">
        <v>25</v>
      </c>
      <c r="K98" t="s">
        <v>26</v>
      </c>
      <c r="L98" t="s">
        <v>113</v>
      </c>
      <c r="M98" t="s">
        <v>42</v>
      </c>
      <c r="N98" s="3">
        <f t="shared" si="6"/>
        <v>0</v>
      </c>
      <c r="O98" s="4">
        <f t="shared" si="7"/>
        <v>25</v>
      </c>
      <c r="P98" s="4">
        <f t="shared" ca="1" si="8"/>
        <v>0</v>
      </c>
      <c r="Q98" s="2" t="str">
        <f t="shared" si="9"/>
        <v>Paid</v>
      </c>
      <c r="R98" t="str">
        <f t="shared" si="10"/>
        <v>Jul</v>
      </c>
      <c r="S98" t="str">
        <f t="shared" si="11"/>
        <v>2025-07</v>
      </c>
    </row>
    <row r="99" spans="1:19" x14ac:dyDescent="0.25">
      <c r="A99" t="s">
        <v>160</v>
      </c>
      <c r="B99" t="s">
        <v>36</v>
      </c>
      <c r="C99" s="1">
        <v>45861</v>
      </c>
      <c r="D99" s="1">
        <v>45891</v>
      </c>
      <c r="E99" s="1">
        <v>45896</v>
      </c>
      <c r="F99" t="s">
        <v>45</v>
      </c>
      <c r="G99" t="s">
        <v>37</v>
      </c>
      <c r="H99">
        <v>6445.66</v>
      </c>
      <c r="I99">
        <v>6445.66</v>
      </c>
      <c r="J99" t="s">
        <v>25</v>
      </c>
      <c r="K99" t="s">
        <v>26</v>
      </c>
      <c r="L99" t="s">
        <v>38</v>
      </c>
      <c r="M99" t="s">
        <v>28</v>
      </c>
      <c r="N99" s="3">
        <f t="shared" si="6"/>
        <v>0</v>
      </c>
      <c r="O99" s="4">
        <f t="shared" si="7"/>
        <v>35</v>
      </c>
      <c r="P99" s="4">
        <f t="shared" ca="1" si="8"/>
        <v>0</v>
      </c>
      <c r="Q99" s="2" t="str">
        <f t="shared" si="9"/>
        <v>Paid</v>
      </c>
      <c r="R99" t="str">
        <f t="shared" si="10"/>
        <v>Jul</v>
      </c>
      <c r="S99" t="str">
        <f t="shared" si="11"/>
        <v>2025-07</v>
      </c>
    </row>
    <row r="100" spans="1:19" x14ac:dyDescent="0.25">
      <c r="A100" t="s">
        <v>161</v>
      </c>
      <c r="B100" t="s">
        <v>71</v>
      </c>
      <c r="C100" s="1">
        <v>45863</v>
      </c>
      <c r="D100" s="1">
        <v>45893</v>
      </c>
      <c r="E100" s="1">
        <v>45885</v>
      </c>
      <c r="F100" t="s">
        <v>59</v>
      </c>
      <c r="G100" t="s">
        <v>16</v>
      </c>
      <c r="H100">
        <v>1003.36</v>
      </c>
      <c r="I100">
        <v>1003.36</v>
      </c>
      <c r="J100" t="s">
        <v>25</v>
      </c>
      <c r="K100" t="s">
        <v>18</v>
      </c>
      <c r="L100" t="s">
        <v>19</v>
      </c>
      <c r="M100" t="s">
        <v>42</v>
      </c>
      <c r="N100" s="3">
        <f t="shared" si="6"/>
        <v>0</v>
      </c>
      <c r="O100" s="4">
        <f t="shared" si="7"/>
        <v>22</v>
      </c>
      <c r="P100" s="4">
        <f t="shared" ca="1" si="8"/>
        <v>0</v>
      </c>
      <c r="Q100" s="2" t="str">
        <f t="shared" si="9"/>
        <v>Paid</v>
      </c>
      <c r="R100" t="str">
        <f t="shared" si="10"/>
        <v>Jul</v>
      </c>
      <c r="S100" t="str">
        <f t="shared" si="11"/>
        <v>2025-07</v>
      </c>
    </row>
    <row r="101" spans="1:19" x14ac:dyDescent="0.25">
      <c r="A101" t="s">
        <v>162</v>
      </c>
      <c r="B101" t="s">
        <v>48</v>
      </c>
      <c r="C101" s="1">
        <v>45863</v>
      </c>
      <c r="D101" s="1">
        <v>45893</v>
      </c>
      <c r="E101" s="1">
        <v>45917</v>
      </c>
      <c r="F101" t="s">
        <v>59</v>
      </c>
      <c r="G101" t="s">
        <v>37</v>
      </c>
      <c r="H101">
        <v>2908.24</v>
      </c>
      <c r="I101">
        <v>2908.24</v>
      </c>
      <c r="J101" t="s">
        <v>25</v>
      </c>
      <c r="K101" t="s">
        <v>18</v>
      </c>
      <c r="L101" t="s">
        <v>19</v>
      </c>
      <c r="M101" t="s">
        <v>42</v>
      </c>
      <c r="N101" s="3">
        <f t="shared" si="6"/>
        <v>0</v>
      </c>
      <c r="O101" s="4">
        <f t="shared" si="7"/>
        <v>54</v>
      </c>
      <c r="P101" s="4">
        <f t="shared" ca="1" si="8"/>
        <v>0</v>
      </c>
      <c r="Q101" s="2" t="str">
        <f t="shared" si="9"/>
        <v>Paid</v>
      </c>
      <c r="R101" t="str">
        <f t="shared" si="10"/>
        <v>Jul</v>
      </c>
      <c r="S101" t="str">
        <f t="shared" si="11"/>
        <v>2025-07</v>
      </c>
    </row>
    <row r="102" spans="1:19" x14ac:dyDescent="0.25">
      <c r="A102" t="s">
        <v>163</v>
      </c>
      <c r="B102" t="s">
        <v>44</v>
      </c>
      <c r="C102" s="1">
        <v>45864</v>
      </c>
      <c r="D102" s="1">
        <v>45894</v>
      </c>
      <c r="E102" s="1">
        <v>45911</v>
      </c>
      <c r="F102" t="s">
        <v>23</v>
      </c>
      <c r="G102" t="s">
        <v>31</v>
      </c>
      <c r="H102">
        <v>2301.42</v>
      </c>
      <c r="I102">
        <v>2301.42</v>
      </c>
      <c r="J102" t="s">
        <v>25</v>
      </c>
      <c r="K102" t="s">
        <v>18</v>
      </c>
      <c r="L102" t="s">
        <v>19</v>
      </c>
      <c r="M102" t="s">
        <v>39</v>
      </c>
      <c r="N102" s="3">
        <f t="shared" si="6"/>
        <v>0</v>
      </c>
      <c r="O102" s="4">
        <f t="shared" si="7"/>
        <v>47</v>
      </c>
      <c r="P102" s="4">
        <f t="shared" ca="1" si="8"/>
        <v>0</v>
      </c>
      <c r="Q102" s="2" t="str">
        <f t="shared" si="9"/>
        <v>Paid</v>
      </c>
      <c r="R102" t="str">
        <f t="shared" si="10"/>
        <v>Jul</v>
      </c>
      <c r="S102" t="str">
        <f t="shared" si="11"/>
        <v>2025-07</v>
      </c>
    </row>
    <row r="103" spans="1:19" x14ac:dyDescent="0.25">
      <c r="A103" t="s">
        <v>164</v>
      </c>
      <c r="B103" t="s">
        <v>118</v>
      </c>
      <c r="C103" s="1">
        <v>45864</v>
      </c>
      <c r="D103" s="1">
        <v>45894</v>
      </c>
      <c r="F103" t="s">
        <v>23</v>
      </c>
      <c r="G103" t="s">
        <v>37</v>
      </c>
      <c r="H103">
        <v>5436.89</v>
      </c>
      <c r="I103">
        <v>0</v>
      </c>
      <c r="J103" t="s">
        <v>17</v>
      </c>
      <c r="K103" t="s">
        <v>26</v>
      </c>
      <c r="L103" t="s">
        <v>27</v>
      </c>
      <c r="M103" t="s">
        <v>28</v>
      </c>
      <c r="N103" s="3">
        <f t="shared" si="6"/>
        <v>5436.89</v>
      </c>
      <c r="O103" s="4" t="str">
        <f t="shared" si="7"/>
        <v/>
      </c>
      <c r="P103" s="4">
        <f t="shared" ca="1" si="8"/>
        <v>203</v>
      </c>
      <c r="Q103" s="2" t="str">
        <f t="shared" ca="1" si="9"/>
        <v>90+</v>
      </c>
      <c r="R103" t="str">
        <f t="shared" si="10"/>
        <v>Jul</v>
      </c>
      <c r="S103" t="str">
        <f t="shared" si="11"/>
        <v>2025-07</v>
      </c>
    </row>
    <row r="104" spans="1:19" x14ac:dyDescent="0.25">
      <c r="A104" t="s">
        <v>165</v>
      </c>
      <c r="B104" t="s">
        <v>64</v>
      </c>
      <c r="C104" s="1">
        <v>45865</v>
      </c>
      <c r="D104" s="1">
        <v>45895</v>
      </c>
      <c r="F104" t="s">
        <v>23</v>
      </c>
      <c r="G104" t="s">
        <v>16</v>
      </c>
      <c r="H104">
        <v>473.86</v>
      </c>
      <c r="I104">
        <v>0</v>
      </c>
      <c r="J104" t="s">
        <v>17</v>
      </c>
      <c r="K104" t="s">
        <v>26</v>
      </c>
      <c r="L104" t="s">
        <v>55</v>
      </c>
      <c r="M104" t="s">
        <v>28</v>
      </c>
      <c r="N104" s="3">
        <f t="shared" si="6"/>
        <v>473.86</v>
      </c>
      <c r="O104" s="4" t="str">
        <f t="shared" si="7"/>
        <v/>
      </c>
      <c r="P104" s="4">
        <f t="shared" ca="1" si="8"/>
        <v>202</v>
      </c>
      <c r="Q104" s="2" t="str">
        <f t="shared" ca="1" si="9"/>
        <v>90+</v>
      </c>
      <c r="R104" t="str">
        <f t="shared" si="10"/>
        <v>Jul</v>
      </c>
      <c r="S104" t="str">
        <f t="shared" si="11"/>
        <v>2025-07</v>
      </c>
    </row>
    <row r="105" spans="1:19" x14ac:dyDescent="0.25">
      <c r="A105" t="s">
        <v>166</v>
      </c>
      <c r="B105" t="s">
        <v>78</v>
      </c>
      <c r="C105" s="1">
        <v>45868</v>
      </c>
      <c r="D105" s="1">
        <v>45898</v>
      </c>
      <c r="F105" t="s">
        <v>15</v>
      </c>
      <c r="G105" t="s">
        <v>24</v>
      </c>
      <c r="H105">
        <v>1630.12</v>
      </c>
      <c r="I105">
        <v>0</v>
      </c>
      <c r="J105" t="s">
        <v>17</v>
      </c>
      <c r="K105" t="s">
        <v>18</v>
      </c>
      <c r="L105" t="s">
        <v>19</v>
      </c>
      <c r="M105" t="s">
        <v>32</v>
      </c>
      <c r="N105" s="3">
        <f t="shared" si="6"/>
        <v>1630.12</v>
      </c>
      <c r="O105" s="4" t="str">
        <f t="shared" si="7"/>
        <v/>
      </c>
      <c r="P105" s="4">
        <f t="shared" ca="1" si="8"/>
        <v>199</v>
      </c>
      <c r="Q105" s="2" t="str">
        <f t="shared" ca="1" si="9"/>
        <v>90+</v>
      </c>
      <c r="R105" t="str">
        <f t="shared" si="10"/>
        <v>Jul</v>
      </c>
      <c r="S105" t="str">
        <f t="shared" si="11"/>
        <v>2025-07</v>
      </c>
    </row>
    <row r="106" spans="1:19" x14ac:dyDescent="0.25">
      <c r="A106" t="s">
        <v>167</v>
      </c>
      <c r="B106" t="s">
        <v>126</v>
      </c>
      <c r="C106" s="1">
        <v>45869</v>
      </c>
      <c r="D106" s="1">
        <v>45899</v>
      </c>
      <c r="E106" s="1">
        <v>45890</v>
      </c>
      <c r="F106" t="s">
        <v>45</v>
      </c>
      <c r="G106" t="s">
        <v>69</v>
      </c>
      <c r="H106">
        <v>585.73</v>
      </c>
      <c r="I106">
        <v>585.73</v>
      </c>
      <c r="J106" t="s">
        <v>25</v>
      </c>
      <c r="K106" t="s">
        <v>18</v>
      </c>
      <c r="L106" t="s">
        <v>19</v>
      </c>
      <c r="M106" t="s">
        <v>28</v>
      </c>
      <c r="N106" s="3">
        <f t="shared" si="6"/>
        <v>0</v>
      </c>
      <c r="O106" s="4">
        <f t="shared" si="7"/>
        <v>21</v>
      </c>
      <c r="P106" s="4">
        <f t="shared" ca="1" si="8"/>
        <v>0</v>
      </c>
      <c r="Q106" s="2" t="str">
        <f t="shared" si="9"/>
        <v>Paid</v>
      </c>
      <c r="R106" t="str">
        <f t="shared" si="10"/>
        <v>Jul</v>
      </c>
      <c r="S106" t="str">
        <f t="shared" si="11"/>
        <v>2025-07</v>
      </c>
    </row>
    <row r="107" spans="1:19" x14ac:dyDescent="0.25">
      <c r="A107" t="s">
        <v>168</v>
      </c>
      <c r="B107" t="s">
        <v>68</v>
      </c>
      <c r="C107" s="1">
        <v>45869</v>
      </c>
      <c r="D107" s="1">
        <v>45899</v>
      </c>
      <c r="E107" s="1">
        <v>45892</v>
      </c>
      <c r="F107" t="s">
        <v>45</v>
      </c>
      <c r="G107" t="s">
        <v>24</v>
      </c>
      <c r="H107">
        <v>3585.56</v>
      </c>
      <c r="I107">
        <v>3585.56</v>
      </c>
      <c r="J107" t="s">
        <v>25</v>
      </c>
      <c r="K107" t="s">
        <v>18</v>
      </c>
      <c r="L107" t="s">
        <v>19</v>
      </c>
      <c r="M107" t="s">
        <v>28</v>
      </c>
      <c r="N107" s="3">
        <f t="shared" si="6"/>
        <v>0</v>
      </c>
      <c r="O107" s="4">
        <f t="shared" si="7"/>
        <v>23</v>
      </c>
      <c r="P107" s="4">
        <f t="shared" ca="1" si="8"/>
        <v>0</v>
      </c>
      <c r="Q107" s="2" t="str">
        <f t="shared" si="9"/>
        <v>Paid</v>
      </c>
      <c r="R107" t="str">
        <f t="shared" si="10"/>
        <v>Jul</v>
      </c>
      <c r="S107" t="str">
        <f t="shared" si="11"/>
        <v>2025-07</v>
      </c>
    </row>
    <row r="108" spans="1:19" x14ac:dyDescent="0.25">
      <c r="A108" t="s">
        <v>169</v>
      </c>
      <c r="B108" t="s">
        <v>41</v>
      </c>
      <c r="C108" s="1">
        <v>45870</v>
      </c>
      <c r="D108" s="1">
        <v>45900</v>
      </c>
      <c r="E108" s="1">
        <v>45897</v>
      </c>
      <c r="F108" t="s">
        <v>45</v>
      </c>
      <c r="G108" t="s">
        <v>69</v>
      </c>
      <c r="H108">
        <v>1426.84</v>
      </c>
      <c r="I108">
        <v>1426.84</v>
      </c>
      <c r="J108" t="s">
        <v>25</v>
      </c>
      <c r="K108" t="s">
        <v>18</v>
      </c>
      <c r="L108" t="s">
        <v>19</v>
      </c>
      <c r="M108" t="s">
        <v>42</v>
      </c>
      <c r="N108" s="3">
        <f t="shared" si="6"/>
        <v>0</v>
      </c>
      <c r="O108" s="4">
        <f t="shared" si="7"/>
        <v>27</v>
      </c>
      <c r="P108" s="4">
        <f t="shared" ca="1" si="8"/>
        <v>0</v>
      </c>
      <c r="Q108" s="2" t="str">
        <f t="shared" si="9"/>
        <v>Paid</v>
      </c>
      <c r="R108" t="str">
        <f t="shared" si="10"/>
        <v>Aug</v>
      </c>
      <c r="S108" t="str">
        <f t="shared" si="11"/>
        <v>2025-08</v>
      </c>
    </row>
    <row r="109" spans="1:19" x14ac:dyDescent="0.25">
      <c r="A109" t="s">
        <v>170</v>
      </c>
      <c r="B109" t="s">
        <v>14</v>
      </c>
      <c r="C109" s="1">
        <v>45871</v>
      </c>
      <c r="D109" s="1">
        <v>45901</v>
      </c>
      <c r="E109" s="1">
        <v>45922</v>
      </c>
      <c r="F109" t="s">
        <v>45</v>
      </c>
      <c r="G109" t="s">
        <v>24</v>
      </c>
      <c r="H109">
        <v>1022.37</v>
      </c>
      <c r="I109">
        <v>1022.37</v>
      </c>
      <c r="J109" t="s">
        <v>25</v>
      </c>
      <c r="K109" t="s">
        <v>18</v>
      </c>
      <c r="L109" t="s">
        <v>19</v>
      </c>
      <c r="M109" t="s">
        <v>46</v>
      </c>
      <c r="N109" s="3">
        <f t="shared" si="6"/>
        <v>0</v>
      </c>
      <c r="O109" s="4">
        <f t="shared" si="7"/>
        <v>51</v>
      </c>
      <c r="P109" s="4">
        <f t="shared" ca="1" si="8"/>
        <v>0</v>
      </c>
      <c r="Q109" s="2" t="str">
        <f t="shared" si="9"/>
        <v>Paid</v>
      </c>
      <c r="R109" t="str">
        <f t="shared" si="10"/>
        <v>Aug</v>
      </c>
      <c r="S109" t="str">
        <f t="shared" si="11"/>
        <v>2025-08</v>
      </c>
    </row>
    <row r="110" spans="1:19" x14ac:dyDescent="0.25">
      <c r="A110" t="s">
        <v>171</v>
      </c>
      <c r="B110" t="s">
        <v>99</v>
      </c>
      <c r="C110" s="1">
        <v>45871</v>
      </c>
      <c r="D110" s="1">
        <v>45901</v>
      </c>
      <c r="E110" s="1">
        <v>45906</v>
      </c>
      <c r="F110" t="s">
        <v>59</v>
      </c>
      <c r="G110" t="s">
        <v>53</v>
      </c>
      <c r="H110">
        <v>2884.02</v>
      </c>
      <c r="I110">
        <v>2884.02</v>
      </c>
      <c r="J110" t="s">
        <v>25</v>
      </c>
      <c r="K110" t="s">
        <v>18</v>
      </c>
      <c r="L110" t="s">
        <v>19</v>
      </c>
      <c r="M110" t="s">
        <v>42</v>
      </c>
      <c r="N110" s="3">
        <f t="shared" si="6"/>
        <v>0</v>
      </c>
      <c r="O110" s="4">
        <f t="shared" si="7"/>
        <v>35</v>
      </c>
      <c r="P110" s="4">
        <f t="shared" ca="1" si="8"/>
        <v>0</v>
      </c>
      <c r="Q110" s="2" t="str">
        <f t="shared" si="9"/>
        <v>Paid</v>
      </c>
      <c r="R110" t="str">
        <f t="shared" si="10"/>
        <v>Aug</v>
      </c>
      <c r="S110" t="str">
        <f t="shared" si="11"/>
        <v>2025-08</v>
      </c>
    </row>
    <row r="111" spans="1:19" x14ac:dyDescent="0.25">
      <c r="A111" t="s">
        <v>172</v>
      </c>
      <c r="B111" t="s">
        <v>14</v>
      </c>
      <c r="C111" s="1">
        <v>45875</v>
      </c>
      <c r="D111" s="1">
        <v>45905</v>
      </c>
      <c r="E111" s="1">
        <v>45925</v>
      </c>
      <c r="F111" t="s">
        <v>45</v>
      </c>
      <c r="G111" t="s">
        <v>16</v>
      </c>
      <c r="H111">
        <v>1833.86</v>
      </c>
      <c r="I111">
        <v>1833.86</v>
      </c>
      <c r="J111" t="s">
        <v>25</v>
      </c>
      <c r="K111" t="s">
        <v>18</v>
      </c>
      <c r="L111" t="s">
        <v>19</v>
      </c>
      <c r="M111" t="s">
        <v>20</v>
      </c>
      <c r="N111" s="3">
        <f t="shared" si="6"/>
        <v>0</v>
      </c>
      <c r="O111" s="4">
        <f t="shared" si="7"/>
        <v>50</v>
      </c>
      <c r="P111" s="4">
        <f t="shared" ca="1" si="8"/>
        <v>0</v>
      </c>
      <c r="Q111" s="2" t="str">
        <f t="shared" si="9"/>
        <v>Paid</v>
      </c>
      <c r="R111" t="str">
        <f t="shared" si="10"/>
        <v>Aug</v>
      </c>
      <c r="S111" t="str">
        <f t="shared" si="11"/>
        <v>2025-08</v>
      </c>
    </row>
    <row r="112" spans="1:19" x14ac:dyDescent="0.25">
      <c r="A112" t="s">
        <v>173</v>
      </c>
      <c r="B112" t="s">
        <v>14</v>
      </c>
      <c r="C112" s="1">
        <v>45878</v>
      </c>
      <c r="D112" s="1">
        <v>45908</v>
      </c>
      <c r="E112" s="1">
        <v>45928</v>
      </c>
      <c r="F112" t="s">
        <v>30</v>
      </c>
      <c r="G112" t="s">
        <v>53</v>
      </c>
      <c r="H112">
        <v>5956.58</v>
      </c>
      <c r="I112">
        <v>5956.58</v>
      </c>
      <c r="J112" t="s">
        <v>25</v>
      </c>
      <c r="K112" t="s">
        <v>18</v>
      </c>
      <c r="L112" t="s">
        <v>19</v>
      </c>
      <c r="M112" t="s">
        <v>28</v>
      </c>
      <c r="N112" s="3">
        <f t="shared" si="6"/>
        <v>0</v>
      </c>
      <c r="O112" s="4">
        <f t="shared" si="7"/>
        <v>50</v>
      </c>
      <c r="P112" s="4">
        <f t="shared" ca="1" si="8"/>
        <v>0</v>
      </c>
      <c r="Q112" s="2" t="str">
        <f t="shared" si="9"/>
        <v>Paid</v>
      </c>
      <c r="R112" t="str">
        <f t="shared" si="10"/>
        <v>Aug</v>
      </c>
      <c r="S112" t="str">
        <f t="shared" si="11"/>
        <v>2025-08</v>
      </c>
    </row>
    <row r="113" spans="1:19" x14ac:dyDescent="0.25">
      <c r="A113" t="s">
        <v>174</v>
      </c>
      <c r="B113" t="s">
        <v>126</v>
      </c>
      <c r="C113" s="1">
        <v>45879</v>
      </c>
      <c r="D113" s="1">
        <v>45909</v>
      </c>
      <c r="E113" s="1">
        <v>45905</v>
      </c>
      <c r="F113" t="s">
        <v>45</v>
      </c>
      <c r="G113" t="s">
        <v>37</v>
      </c>
      <c r="H113">
        <v>6016.18</v>
      </c>
      <c r="I113">
        <v>6016.18</v>
      </c>
      <c r="J113" t="s">
        <v>25</v>
      </c>
      <c r="K113" t="s">
        <v>18</v>
      </c>
      <c r="L113" t="s">
        <v>19</v>
      </c>
      <c r="M113" t="s">
        <v>46</v>
      </c>
      <c r="N113" s="3">
        <f t="shared" si="6"/>
        <v>0</v>
      </c>
      <c r="O113" s="4">
        <f t="shared" si="7"/>
        <v>26</v>
      </c>
      <c r="P113" s="4">
        <f t="shared" ca="1" si="8"/>
        <v>0</v>
      </c>
      <c r="Q113" s="2" t="str">
        <f t="shared" si="9"/>
        <v>Paid</v>
      </c>
      <c r="R113" t="str">
        <f t="shared" si="10"/>
        <v>Aug</v>
      </c>
      <c r="S113" t="str">
        <f t="shared" si="11"/>
        <v>2025-08</v>
      </c>
    </row>
    <row r="114" spans="1:19" x14ac:dyDescent="0.25">
      <c r="A114" t="s">
        <v>175</v>
      </c>
      <c r="B114" t="s">
        <v>96</v>
      </c>
      <c r="C114" s="1">
        <v>45882</v>
      </c>
      <c r="D114" s="1">
        <v>45912</v>
      </c>
      <c r="E114" s="1">
        <v>45907</v>
      </c>
      <c r="F114" t="s">
        <v>30</v>
      </c>
      <c r="G114" t="s">
        <v>53</v>
      </c>
      <c r="H114">
        <v>1291.6600000000001</v>
      </c>
      <c r="I114">
        <v>1291.6600000000001</v>
      </c>
      <c r="J114" t="s">
        <v>25</v>
      </c>
      <c r="K114" t="s">
        <v>18</v>
      </c>
      <c r="L114" t="s">
        <v>19</v>
      </c>
      <c r="M114" t="s">
        <v>20</v>
      </c>
      <c r="N114" s="3">
        <f t="shared" si="6"/>
        <v>0</v>
      </c>
      <c r="O114" s="4">
        <f t="shared" si="7"/>
        <v>25</v>
      </c>
      <c r="P114" s="4">
        <f t="shared" ca="1" si="8"/>
        <v>0</v>
      </c>
      <c r="Q114" s="2" t="str">
        <f t="shared" si="9"/>
        <v>Paid</v>
      </c>
      <c r="R114" t="str">
        <f t="shared" si="10"/>
        <v>Aug</v>
      </c>
      <c r="S114" t="str">
        <f t="shared" si="11"/>
        <v>2025-08</v>
      </c>
    </row>
    <row r="115" spans="1:19" x14ac:dyDescent="0.25">
      <c r="A115" t="s">
        <v>176</v>
      </c>
      <c r="B115" t="s">
        <v>111</v>
      </c>
      <c r="C115" s="1">
        <v>45891</v>
      </c>
      <c r="D115" s="1">
        <v>45921</v>
      </c>
      <c r="E115" s="1">
        <v>45905</v>
      </c>
      <c r="F115" t="s">
        <v>30</v>
      </c>
      <c r="G115" t="s">
        <v>53</v>
      </c>
      <c r="H115">
        <v>7691.93</v>
      </c>
      <c r="I115">
        <v>7691.93</v>
      </c>
      <c r="J115" t="s">
        <v>25</v>
      </c>
      <c r="K115" t="s">
        <v>18</v>
      </c>
      <c r="L115" t="s">
        <v>19</v>
      </c>
      <c r="M115" t="s">
        <v>32</v>
      </c>
      <c r="N115" s="3">
        <f t="shared" si="6"/>
        <v>0</v>
      </c>
      <c r="O115" s="4">
        <f t="shared" si="7"/>
        <v>14</v>
      </c>
      <c r="P115" s="4">
        <f t="shared" ca="1" si="8"/>
        <v>0</v>
      </c>
      <c r="Q115" s="2" t="str">
        <f t="shared" si="9"/>
        <v>Paid</v>
      </c>
      <c r="R115" t="str">
        <f t="shared" si="10"/>
        <v>Aug</v>
      </c>
      <c r="S115" t="str">
        <f t="shared" si="11"/>
        <v>2025-08</v>
      </c>
    </row>
    <row r="116" spans="1:19" x14ac:dyDescent="0.25">
      <c r="A116" t="s">
        <v>177</v>
      </c>
      <c r="B116" t="s">
        <v>81</v>
      </c>
      <c r="C116" s="1">
        <v>45893</v>
      </c>
      <c r="D116" s="1">
        <v>45923</v>
      </c>
      <c r="E116" s="1">
        <v>45925</v>
      </c>
      <c r="F116" t="s">
        <v>15</v>
      </c>
      <c r="G116" t="s">
        <v>16</v>
      </c>
      <c r="H116">
        <v>1905.41</v>
      </c>
      <c r="I116">
        <v>1905.41</v>
      </c>
      <c r="J116" t="s">
        <v>25</v>
      </c>
      <c r="K116" t="s">
        <v>18</v>
      </c>
      <c r="L116" t="s">
        <v>19</v>
      </c>
      <c r="M116" t="s">
        <v>46</v>
      </c>
      <c r="N116" s="3">
        <f t="shared" si="6"/>
        <v>0</v>
      </c>
      <c r="O116" s="4">
        <f t="shared" si="7"/>
        <v>32</v>
      </c>
      <c r="P116" s="4">
        <f t="shared" ca="1" si="8"/>
        <v>0</v>
      </c>
      <c r="Q116" s="2" t="str">
        <f t="shared" si="9"/>
        <v>Paid</v>
      </c>
      <c r="R116" t="str">
        <f t="shared" si="10"/>
        <v>Aug</v>
      </c>
      <c r="S116" t="str">
        <f t="shared" si="11"/>
        <v>2025-08</v>
      </c>
    </row>
    <row r="117" spans="1:19" x14ac:dyDescent="0.25">
      <c r="A117" t="s">
        <v>178</v>
      </c>
      <c r="B117" t="s">
        <v>14</v>
      </c>
      <c r="C117" s="1">
        <v>45893</v>
      </c>
      <c r="D117" s="1">
        <v>45923</v>
      </c>
      <c r="E117" s="1">
        <v>45920</v>
      </c>
      <c r="F117" t="s">
        <v>59</v>
      </c>
      <c r="G117" t="s">
        <v>37</v>
      </c>
      <c r="H117">
        <v>5784.73</v>
      </c>
      <c r="I117">
        <v>4607.12</v>
      </c>
      <c r="J117" t="s">
        <v>66</v>
      </c>
      <c r="K117" t="s">
        <v>26</v>
      </c>
      <c r="L117" t="s">
        <v>93</v>
      </c>
      <c r="M117" t="s">
        <v>28</v>
      </c>
      <c r="N117" s="3">
        <f t="shared" si="6"/>
        <v>1177.6099999999997</v>
      </c>
      <c r="O117" s="4">
        <f t="shared" si="7"/>
        <v>27</v>
      </c>
      <c r="P117" s="4">
        <f t="shared" ca="1" si="8"/>
        <v>174</v>
      </c>
      <c r="Q117" s="2" t="str">
        <f t="shared" ca="1" si="9"/>
        <v>90+</v>
      </c>
      <c r="R117" t="str">
        <f t="shared" si="10"/>
        <v>Aug</v>
      </c>
      <c r="S117" t="str">
        <f t="shared" si="11"/>
        <v>2025-08</v>
      </c>
    </row>
    <row r="118" spans="1:19" x14ac:dyDescent="0.25">
      <c r="A118" t="s">
        <v>179</v>
      </c>
      <c r="B118" t="s">
        <v>76</v>
      </c>
      <c r="C118" s="1">
        <v>45894</v>
      </c>
      <c r="D118" s="1">
        <v>45924</v>
      </c>
      <c r="F118" t="s">
        <v>59</v>
      </c>
      <c r="G118" t="s">
        <v>16</v>
      </c>
      <c r="H118">
        <v>2362.3000000000002</v>
      </c>
      <c r="I118">
        <v>1462.15</v>
      </c>
      <c r="J118" t="s">
        <v>66</v>
      </c>
      <c r="K118" t="s">
        <v>26</v>
      </c>
      <c r="L118" t="s">
        <v>38</v>
      </c>
      <c r="M118" t="s">
        <v>32</v>
      </c>
      <c r="N118" s="3">
        <f t="shared" si="6"/>
        <v>900.15000000000009</v>
      </c>
      <c r="O118" s="4" t="str">
        <f t="shared" si="7"/>
        <v/>
      </c>
      <c r="P118" s="4">
        <f t="shared" ca="1" si="8"/>
        <v>173</v>
      </c>
      <c r="Q118" s="2" t="str">
        <f t="shared" ca="1" si="9"/>
        <v>90+</v>
      </c>
      <c r="R118" t="str">
        <f t="shared" si="10"/>
        <v>Aug</v>
      </c>
      <c r="S118" t="str">
        <f t="shared" si="11"/>
        <v>2025-08</v>
      </c>
    </row>
    <row r="119" spans="1:19" x14ac:dyDescent="0.25">
      <c r="A119" t="s">
        <v>180</v>
      </c>
      <c r="B119" t="s">
        <v>76</v>
      </c>
      <c r="C119" s="1">
        <v>45896</v>
      </c>
      <c r="D119" s="1">
        <v>45926</v>
      </c>
      <c r="E119" s="1">
        <v>45908</v>
      </c>
      <c r="F119" t="s">
        <v>30</v>
      </c>
      <c r="G119" t="s">
        <v>53</v>
      </c>
      <c r="H119">
        <v>970.38</v>
      </c>
      <c r="I119">
        <v>970.38</v>
      </c>
      <c r="J119" t="s">
        <v>25</v>
      </c>
      <c r="K119" t="s">
        <v>18</v>
      </c>
      <c r="L119" t="s">
        <v>19</v>
      </c>
      <c r="M119" t="s">
        <v>32</v>
      </c>
      <c r="N119" s="3">
        <f t="shared" si="6"/>
        <v>0</v>
      </c>
      <c r="O119" s="4">
        <f t="shared" si="7"/>
        <v>12</v>
      </c>
      <c r="P119" s="4">
        <f t="shared" ca="1" si="8"/>
        <v>0</v>
      </c>
      <c r="Q119" s="2" t="str">
        <f t="shared" si="9"/>
        <v>Paid</v>
      </c>
      <c r="R119" t="str">
        <f t="shared" si="10"/>
        <v>Aug</v>
      </c>
      <c r="S119" t="str">
        <f t="shared" si="11"/>
        <v>2025-08</v>
      </c>
    </row>
    <row r="120" spans="1:19" x14ac:dyDescent="0.25">
      <c r="A120" t="s">
        <v>181</v>
      </c>
      <c r="B120" t="s">
        <v>118</v>
      </c>
      <c r="C120" s="1">
        <v>45896</v>
      </c>
      <c r="D120" s="1">
        <v>45926</v>
      </c>
      <c r="E120" s="1">
        <v>45911</v>
      </c>
      <c r="F120" t="s">
        <v>15</v>
      </c>
      <c r="G120" t="s">
        <v>31</v>
      </c>
      <c r="H120">
        <v>4424.6000000000004</v>
      </c>
      <c r="I120">
        <v>4424.6000000000004</v>
      </c>
      <c r="J120" t="s">
        <v>25</v>
      </c>
      <c r="K120" t="s">
        <v>18</v>
      </c>
      <c r="L120" t="s">
        <v>19</v>
      </c>
      <c r="M120" t="s">
        <v>28</v>
      </c>
      <c r="N120" s="3">
        <f t="shared" si="6"/>
        <v>0</v>
      </c>
      <c r="O120" s="4">
        <f t="shared" si="7"/>
        <v>15</v>
      </c>
      <c r="P120" s="4">
        <f t="shared" ca="1" si="8"/>
        <v>0</v>
      </c>
      <c r="Q120" s="2" t="str">
        <f t="shared" si="9"/>
        <v>Paid</v>
      </c>
      <c r="R120" t="str">
        <f t="shared" si="10"/>
        <v>Aug</v>
      </c>
      <c r="S120" t="str">
        <f t="shared" si="11"/>
        <v>2025-08</v>
      </c>
    </row>
    <row r="121" spans="1:19" x14ac:dyDescent="0.25">
      <c r="A121" t="s">
        <v>182</v>
      </c>
      <c r="B121" t="s">
        <v>78</v>
      </c>
      <c r="C121" s="1">
        <v>45896</v>
      </c>
      <c r="D121" s="1">
        <v>45926</v>
      </c>
      <c r="E121" s="1">
        <v>45944</v>
      </c>
      <c r="F121" t="s">
        <v>23</v>
      </c>
      <c r="G121" t="s">
        <v>53</v>
      </c>
      <c r="H121">
        <v>4877.51</v>
      </c>
      <c r="I121">
        <v>4877.51</v>
      </c>
      <c r="J121" t="s">
        <v>25</v>
      </c>
      <c r="K121" t="s">
        <v>18</v>
      </c>
      <c r="L121" t="s">
        <v>19</v>
      </c>
      <c r="M121" t="s">
        <v>32</v>
      </c>
      <c r="N121" s="3">
        <f t="shared" si="6"/>
        <v>0</v>
      </c>
      <c r="O121" s="4">
        <f t="shared" si="7"/>
        <v>48</v>
      </c>
      <c r="P121" s="4">
        <f t="shared" ca="1" si="8"/>
        <v>0</v>
      </c>
      <c r="Q121" s="2" t="str">
        <f t="shared" si="9"/>
        <v>Paid</v>
      </c>
      <c r="R121" t="str">
        <f t="shared" si="10"/>
        <v>Aug</v>
      </c>
      <c r="S121" t="str">
        <f t="shared" si="11"/>
        <v>2025-08</v>
      </c>
    </row>
    <row r="122" spans="1:19" x14ac:dyDescent="0.25">
      <c r="A122" t="s">
        <v>183</v>
      </c>
      <c r="B122" t="s">
        <v>78</v>
      </c>
      <c r="C122" s="1">
        <v>45897</v>
      </c>
      <c r="D122" s="1">
        <v>45927</v>
      </c>
      <c r="E122" s="1">
        <v>45912</v>
      </c>
      <c r="F122" t="s">
        <v>45</v>
      </c>
      <c r="G122" t="s">
        <v>16</v>
      </c>
      <c r="H122">
        <v>853.09</v>
      </c>
      <c r="I122">
        <v>853.09</v>
      </c>
      <c r="J122" t="s">
        <v>25</v>
      </c>
      <c r="K122" t="s">
        <v>18</v>
      </c>
      <c r="L122" t="s">
        <v>19</v>
      </c>
      <c r="M122" t="s">
        <v>42</v>
      </c>
      <c r="N122" s="3">
        <f t="shared" si="6"/>
        <v>0</v>
      </c>
      <c r="O122" s="4">
        <f t="shared" si="7"/>
        <v>15</v>
      </c>
      <c r="P122" s="4">
        <f t="shared" ca="1" si="8"/>
        <v>0</v>
      </c>
      <c r="Q122" s="2" t="str">
        <f t="shared" si="9"/>
        <v>Paid</v>
      </c>
      <c r="R122" t="str">
        <f t="shared" si="10"/>
        <v>Aug</v>
      </c>
      <c r="S122" t="str">
        <f t="shared" si="11"/>
        <v>2025-08</v>
      </c>
    </row>
    <row r="123" spans="1:19" x14ac:dyDescent="0.25">
      <c r="A123" t="s">
        <v>184</v>
      </c>
      <c r="B123" t="s">
        <v>58</v>
      </c>
      <c r="C123" s="1">
        <v>45902</v>
      </c>
      <c r="D123" s="1">
        <v>45932</v>
      </c>
      <c r="E123" s="1">
        <v>45961</v>
      </c>
      <c r="F123" t="s">
        <v>15</v>
      </c>
      <c r="G123" t="s">
        <v>53</v>
      </c>
      <c r="H123">
        <v>7892.95</v>
      </c>
      <c r="I123">
        <v>2097.71</v>
      </c>
      <c r="J123" t="s">
        <v>66</v>
      </c>
      <c r="K123" t="s">
        <v>26</v>
      </c>
      <c r="L123" t="s">
        <v>38</v>
      </c>
      <c r="M123" t="s">
        <v>46</v>
      </c>
      <c r="N123" s="3">
        <f t="shared" si="6"/>
        <v>5795.24</v>
      </c>
      <c r="O123" s="4">
        <f t="shared" si="7"/>
        <v>59</v>
      </c>
      <c r="P123" s="4">
        <f t="shared" ca="1" si="8"/>
        <v>165</v>
      </c>
      <c r="Q123" s="2" t="str">
        <f t="shared" ca="1" si="9"/>
        <v>90+</v>
      </c>
      <c r="R123" t="str">
        <f t="shared" si="10"/>
        <v>Sep</v>
      </c>
      <c r="S123" t="str">
        <f t="shared" si="11"/>
        <v>2025-09</v>
      </c>
    </row>
    <row r="124" spans="1:19" x14ac:dyDescent="0.25">
      <c r="A124" t="s">
        <v>185</v>
      </c>
      <c r="B124" t="s">
        <v>58</v>
      </c>
      <c r="C124" s="1">
        <v>45903</v>
      </c>
      <c r="D124" s="1">
        <v>45933</v>
      </c>
      <c r="E124" s="1">
        <v>45951</v>
      </c>
      <c r="F124" t="s">
        <v>30</v>
      </c>
      <c r="G124" t="s">
        <v>16</v>
      </c>
      <c r="H124">
        <v>1199.29</v>
      </c>
      <c r="I124">
        <v>1199.29</v>
      </c>
      <c r="J124" t="s">
        <v>25</v>
      </c>
      <c r="K124" t="s">
        <v>18</v>
      </c>
      <c r="L124" t="s">
        <v>19</v>
      </c>
      <c r="M124" t="s">
        <v>20</v>
      </c>
      <c r="N124" s="3">
        <f t="shared" si="6"/>
        <v>0</v>
      </c>
      <c r="O124" s="4">
        <f t="shared" si="7"/>
        <v>48</v>
      </c>
      <c r="P124" s="4">
        <f t="shared" ca="1" si="8"/>
        <v>0</v>
      </c>
      <c r="Q124" s="2" t="str">
        <f t="shared" si="9"/>
        <v>Paid</v>
      </c>
      <c r="R124" t="str">
        <f t="shared" si="10"/>
        <v>Sep</v>
      </c>
      <c r="S124" t="str">
        <f t="shared" si="11"/>
        <v>2025-09</v>
      </c>
    </row>
    <row r="125" spans="1:19" x14ac:dyDescent="0.25">
      <c r="A125" t="s">
        <v>186</v>
      </c>
      <c r="B125" t="s">
        <v>118</v>
      </c>
      <c r="C125" s="1">
        <v>45905</v>
      </c>
      <c r="D125" s="1">
        <v>45935</v>
      </c>
      <c r="E125" s="1">
        <v>45920</v>
      </c>
      <c r="F125" t="s">
        <v>59</v>
      </c>
      <c r="G125" t="s">
        <v>37</v>
      </c>
      <c r="H125">
        <v>8717.1299999999992</v>
      </c>
      <c r="I125">
        <v>3035.82</v>
      </c>
      <c r="J125" t="s">
        <v>66</v>
      </c>
      <c r="K125" t="s">
        <v>18</v>
      </c>
      <c r="L125" t="s">
        <v>19</v>
      </c>
      <c r="M125" t="s">
        <v>39</v>
      </c>
      <c r="N125" s="3">
        <f t="shared" si="6"/>
        <v>5681.3099999999995</v>
      </c>
      <c r="O125" s="4">
        <f t="shared" si="7"/>
        <v>15</v>
      </c>
      <c r="P125" s="4">
        <f t="shared" ca="1" si="8"/>
        <v>162</v>
      </c>
      <c r="Q125" s="2" t="str">
        <f t="shared" ca="1" si="9"/>
        <v>90+</v>
      </c>
      <c r="R125" t="str">
        <f t="shared" si="10"/>
        <v>Sep</v>
      </c>
      <c r="S125" t="str">
        <f t="shared" si="11"/>
        <v>2025-09</v>
      </c>
    </row>
    <row r="126" spans="1:19" x14ac:dyDescent="0.25">
      <c r="A126" t="s">
        <v>187</v>
      </c>
      <c r="B126" t="s">
        <v>76</v>
      </c>
      <c r="C126" s="1">
        <v>45905</v>
      </c>
      <c r="D126" s="1">
        <v>45935</v>
      </c>
      <c r="F126" t="s">
        <v>30</v>
      </c>
      <c r="G126" t="s">
        <v>37</v>
      </c>
      <c r="H126">
        <v>7614.85</v>
      </c>
      <c r="I126">
        <v>0</v>
      </c>
      <c r="J126" t="s">
        <v>17</v>
      </c>
      <c r="K126" t="s">
        <v>26</v>
      </c>
      <c r="L126" t="s">
        <v>93</v>
      </c>
      <c r="M126" t="s">
        <v>20</v>
      </c>
      <c r="N126" s="3">
        <f t="shared" si="6"/>
        <v>7614.85</v>
      </c>
      <c r="O126" s="4" t="str">
        <f t="shared" si="7"/>
        <v/>
      </c>
      <c r="P126" s="4">
        <f t="shared" ca="1" si="8"/>
        <v>162</v>
      </c>
      <c r="Q126" s="2" t="str">
        <f t="shared" ca="1" si="9"/>
        <v>90+</v>
      </c>
      <c r="R126" t="str">
        <f t="shared" si="10"/>
        <v>Sep</v>
      </c>
      <c r="S126" t="str">
        <f t="shared" si="11"/>
        <v>2025-09</v>
      </c>
    </row>
    <row r="127" spans="1:19" x14ac:dyDescent="0.25">
      <c r="A127" t="s">
        <v>188</v>
      </c>
      <c r="B127" t="s">
        <v>52</v>
      </c>
      <c r="C127" s="1">
        <v>45905</v>
      </c>
      <c r="D127" s="1">
        <v>45935</v>
      </c>
      <c r="F127" t="s">
        <v>45</v>
      </c>
      <c r="G127" t="s">
        <v>31</v>
      </c>
      <c r="H127">
        <v>2258.9499999999998</v>
      </c>
      <c r="I127">
        <v>0</v>
      </c>
      <c r="J127" t="s">
        <v>17</v>
      </c>
      <c r="K127" t="s">
        <v>26</v>
      </c>
      <c r="L127" t="s">
        <v>93</v>
      </c>
      <c r="M127" t="s">
        <v>28</v>
      </c>
      <c r="N127" s="3">
        <f t="shared" si="6"/>
        <v>2258.9499999999998</v>
      </c>
      <c r="O127" s="4" t="str">
        <f t="shared" si="7"/>
        <v/>
      </c>
      <c r="P127" s="4">
        <f t="shared" ca="1" si="8"/>
        <v>162</v>
      </c>
      <c r="Q127" s="2" t="str">
        <f t="shared" ca="1" si="9"/>
        <v>90+</v>
      </c>
      <c r="R127" t="str">
        <f t="shared" si="10"/>
        <v>Sep</v>
      </c>
      <c r="S127" t="str">
        <f t="shared" si="11"/>
        <v>2025-09</v>
      </c>
    </row>
    <row r="128" spans="1:19" x14ac:dyDescent="0.25">
      <c r="A128" t="s">
        <v>189</v>
      </c>
      <c r="B128" t="s">
        <v>64</v>
      </c>
      <c r="C128" s="1">
        <v>45906</v>
      </c>
      <c r="D128" s="1">
        <v>45936</v>
      </c>
      <c r="E128" s="1">
        <v>45929</v>
      </c>
      <c r="F128" t="s">
        <v>15</v>
      </c>
      <c r="G128" t="s">
        <v>37</v>
      </c>
      <c r="H128">
        <v>3689.1</v>
      </c>
      <c r="I128">
        <v>3689.1</v>
      </c>
      <c r="J128" t="s">
        <v>25</v>
      </c>
      <c r="K128" t="s">
        <v>18</v>
      </c>
      <c r="L128" t="s">
        <v>19</v>
      </c>
      <c r="M128" t="s">
        <v>46</v>
      </c>
      <c r="N128" s="3">
        <f t="shared" si="6"/>
        <v>0</v>
      </c>
      <c r="O128" s="4">
        <f t="shared" si="7"/>
        <v>23</v>
      </c>
      <c r="P128" s="4">
        <f t="shared" ca="1" si="8"/>
        <v>0</v>
      </c>
      <c r="Q128" s="2" t="str">
        <f t="shared" si="9"/>
        <v>Paid</v>
      </c>
      <c r="R128" t="str">
        <f t="shared" si="10"/>
        <v>Sep</v>
      </c>
      <c r="S128" t="str">
        <f t="shared" si="11"/>
        <v>2025-09</v>
      </c>
    </row>
    <row r="129" spans="1:19" x14ac:dyDescent="0.25">
      <c r="A129" t="s">
        <v>190</v>
      </c>
      <c r="B129" t="s">
        <v>71</v>
      </c>
      <c r="C129" s="1">
        <v>45908</v>
      </c>
      <c r="D129" s="1">
        <v>45938</v>
      </c>
      <c r="E129" s="1">
        <v>45956</v>
      </c>
      <c r="F129" t="s">
        <v>59</v>
      </c>
      <c r="G129" t="s">
        <v>69</v>
      </c>
      <c r="H129">
        <v>3285.56</v>
      </c>
      <c r="I129">
        <v>2381.4699999999998</v>
      </c>
      <c r="J129" t="s">
        <v>66</v>
      </c>
      <c r="K129" t="s">
        <v>18</v>
      </c>
      <c r="L129" t="s">
        <v>19</v>
      </c>
      <c r="M129" t="s">
        <v>42</v>
      </c>
      <c r="N129" s="3">
        <f t="shared" si="6"/>
        <v>904.09000000000015</v>
      </c>
      <c r="O129" s="4">
        <f t="shared" si="7"/>
        <v>48</v>
      </c>
      <c r="P129" s="4">
        <f t="shared" ca="1" si="8"/>
        <v>159</v>
      </c>
      <c r="Q129" s="2" t="str">
        <f t="shared" ca="1" si="9"/>
        <v>90+</v>
      </c>
      <c r="R129" t="str">
        <f t="shared" si="10"/>
        <v>Sep</v>
      </c>
      <c r="S129" t="str">
        <f t="shared" si="11"/>
        <v>2025-09</v>
      </c>
    </row>
    <row r="130" spans="1:19" x14ac:dyDescent="0.25">
      <c r="A130" t="s">
        <v>191</v>
      </c>
      <c r="B130" t="s">
        <v>111</v>
      </c>
      <c r="C130" s="1">
        <v>45908</v>
      </c>
      <c r="D130" s="1">
        <v>45938</v>
      </c>
      <c r="E130" s="1">
        <v>45964</v>
      </c>
      <c r="F130" t="s">
        <v>45</v>
      </c>
      <c r="G130" t="s">
        <v>31</v>
      </c>
      <c r="H130">
        <v>2002.58</v>
      </c>
      <c r="I130">
        <v>1148.6400000000001</v>
      </c>
      <c r="J130" t="s">
        <v>66</v>
      </c>
      <c r="K130" t="s">
        <v>18</v>
      </c>
      <c r="L130" t="s">
        <v>19</v>
      </c>
      <c r="M130" t="s">
        <v>20</v>
      </c>
      <c r="N130" s="3">
        <f t="shared" si="6"/>
        <v>853.93999999999983</v>
      </c>
      <c r="O130" s="4">
        <f t="shared" si="7"/>
        <v>56</v>
      </c>
      <c r="P130" s="4">
        <f t="shared" ca="1" si="8"/>
        <v>159</v>
      </c>
      <c r="Q130" s="2" t="str">
        <f t="shared" ca="1" si="9"/>
        <v>90+</v>
      </c>
      <c r="R130" t="str">
        <f t="shared" si="10"/>
        <v>Sep</v>
      </c>
      <c r="S130" t="str">
        <f t="shared" si="11"/>
        <v>2025-09</v>
      </c>
    </row>
    <row r="131" spans="1:19" x14ac:dyDescent="0.25">
      <c r="A131" t="s">
        <v>192</v>
      </c>
      <c r="B131" t="s">
        <v>14</v>
      </c>
      <c r="C131" s="1">
        <v>45909</v>
      </c>
      <c r="D131" s="1">
        <v>45939</v>
      </c>
      <c r="E131" s="1">
        <v>45963</v>
      </c>
      <c r="F131" t="s">
        <v>30</v>
      </c>
      <c r="G131" t="s">
        <v>53</v>
      </c>
      <c r="H131">
        <v>7367.29</v>
      </c>
      <c r="I131">
        <v>7367.29</v>
      </c>
      <c r="J131" t="s">
        <v>25</v>
      </c>
      <c r="K131" t="s">
        <v>18</v>
      </c>
      <c r="L131" t="s">
        <v>19</v>
      </c>
      <c r="M131" t="s">
        <v>20</v>
      </c>
      <c r="N131" s="3">
        <f t="shared" ref="N131:N194" si="12">H131-I131</f>
        <v>0</v>
      </c>
      <c r="O131" s="4">
        <f t="shared" ref="O131:O194" si="13">IF(E131="","",E131-C131)</f>
        <v>54</v>
      </c>
      <c r="P131" s="4">
        <f t="shared" ref="P131:P194" ca="1" si="14">IF(N131&lt;=0,0,TODAY()-D131)</f>
        <v>0</v>
      </c>
      <c r="Q131" s="2" t="str">
        <f t="shared" ref="Q131:Q194" si="15">IF(N131&lt;=0,"Paid",IF(P131&lt;=0,"Current",IF(P131&lt;=30,"1-30",IF(P131&lt;=60,"31-60",IF(P131&lt;=90,"61-90","90+")))))</f>
        <v>Paid</v>
      </c>
      <c r="R131" t="str">
        <f t="shared" ref="R131:R194" si="16">TEXT(C131,"mmm")</f>
        <v>Sep</v>
      </c>
      <c r="S131" t="str">
        <f t="shared" ref="S131:S194" si="17">TEXT(C131,"yyyy-mm")</f>
        <v>2025-09</v>
      </c>
    </row>
    <row r="132" spans="1:19" x14ac:dyDescent="0.25">
      <c r="A132" t="s">
        <v>193</v>
      </c>
      <c r="B132" t="s">
        <v>14</v>
      </c>
      <c r="C132" s="1">
        <v>45911</v>
      </c>
      <c r="D132" s="1">
        <v>45941</v>
      </c>
      <c r="F132" t="s">
        <v>45</v>
      </c>
      <c r="G132" t="s">
        <v>31</v>
      </c>
      <c r="H132">
        <v>3940.67</v>
      </c>
      <c r="I132">
        <v>0</v>
      </c>
      <c r="J132" t="s">
        <v>17</v>
      </c>
      <c r="K132" t="s">
        <v>26</v>
      </c>
      <c r="L132" t="s">
        <v>38</v>
      </c>
      <c r="M132" t="s">
        <v>42</v>
      </c>
      <c r="N132" s="3">
        <f t="shared" si="12"/>
        <v>3940.67</v>
      </c>
      <c r="O132" s="4" t="str">
        <f t="shared" si="13"/>
        <v/>
      </c>
      <c r="P132" s="4">
        <f t="shared" ca="1" si="14"/>
        <v>156</v>
      </c>
      <c r="Q132" s="2" t="str">
        <f t="shared" ca="1" si="15"/>
        <v>90+</v>
      </c>
      <c r="R132" t="str">
        <f t="shared" si="16"/>
        <v>Sep</v>
      </c>
      <c r="S132" t="str">
        <f t="shared" si="17"/>
        <v>2025-09</v>
      </c>
    </row>
    <row r="133" spans="1:19" x14ac:dyDescent="0.25">
      <c r="A133" t="s">
        <v>194</v>
      </c>
      <c r="B133" t="s">
        <v>58</v>
      </c>
      <c r="C133" s="1">
        <v>45918</v>
      </c>
      <c r="D133" s="1">
        <v>45948</v>
      </c>
      <c r="E133" s="1">
        <v>45957</v>
      </c>
      <c r="F133" t="s">
        <v>15</v>
      </c>
      <c r="G133" t="s">
        <v>24</v>
      </c>
      <c r="H133">
        <v>3846.74</v>
      </c>
      <c r="I133">
        <v>3846.74</v>
      </c>
      <c r="J133" t="s">
        <v>25</v>
      </c>
      <c r="K133" t="s">
        <v>18</v>
      </c>
      <c r="L133" t="s">
        <v>19</v>
      </c>
      <c r="M133" t="s">
        <v>42</v>
      </c>
      <c r="N133" s="3">
        <f t="shared" si="12"/>
        <v>0</v>
      </c>
      <c r="O133" s="4">
        <f t="shared" si="13"/>
        <v>39</v>
      </c>
      <c r="P133" s="4">
        <f t="shared" ca="1" si="14"/>
        <v>0</v>
      </c>
      <c r="Q133" s="2" t="str">
        <f t="shared" si="15"/>
        <v>Paid</v>
      </c>
      <c r="R133" t="str">
        <f t="shared" si="16"/>
        <v>Sep</v>
      </c>
      <c r="S133" t="str">
        <f t="shared" si="17"/>
        <v>2025-09</v>
      </c>
    </row>
    <row r="134" spans="1:19" x14ac:dyDescent="0.25">
      <c r="A134" t="s">
        <v>195</v>
      </c>
      <c r="B134" t="s">
        <v>71</v>
      </c>
      <c r="C134" s="1">
        <v>45919</v>
      </c>
      <c r="D134" s="1">
        <v>45949</v>
      </c>
      <c r="E134" s="1">
        <v>45975</v>
      </c>
      <c r="F134" t="s">
        <v>30</v>
      </c>
      <c r="G134" t="s">
        <v>24</v>
      </c>
      <c r="H134">
        <v>1874.33</v>
      </c>
      <c r="I134">
        <v>1065.3</v>
      </c>
      <c r="J134" t="s">
        <v>66</v>
      </c>
      <c r="K134" t="s">
        <v>26</v>
      </c>
      <c r="L134" t="s">
        <v>85</v>
      </c>
      <c r="M134" t="s">
        <v>42</v>
      </c>
      <c r="N134" s="3">
        <f t="shared" si="12"/>
        <v>809.03</v>
      </c>
      <c r="O134" s="4">
        <f t="shared" si="13"/>
        <v>56</v>
      </c>
      <c r="P134" s="4">
        <f t="shared" ca="1" si="14"/>
        <v>148</v>
      </c>
      <c r="Q134" s="2" t="str">
        <f t="shared" ca="1" si="15"/>
        <v>90+</v>
      </c>
      <c r="R134" t="str">
        <f t="shared" si="16"/>
        <v>Sep</v>
      </c>
      <c r="S134" t="str">
        <f t="shared" si="17"/>
        <v>2025-09</v>
      </c>
    </row>
    <row r="135" spans="1:19" x14ac:dyDescent="0.25">
      <c r="A135" t="s">
        <v>196</v>
      </c>
      <c r="B135" t="s">
        <v>71</v>
      </c>
      <c r="C135" s="1">
        <v>45920</v>
      </c>
      <c r="D135" s="1">
        <v>45950</v>
      </c>
      <c r="E135" s="1">
        <v>45955</v>
      </c>
      <c r="F135" t="s">
        <v>23</v>
      </c>
      <c r="G135" t="s">
        <v>31</v>
      </c>
      <c r="H135">
        <v>2339.02</v>
      </c>
      <c r="I135">
        <v>2339.02</v>
      </c>
      <c r="J135" t="s">
        <v>25</v>
      </c>
      <c r="K135" t="s">
        <v>18</v>
      </c>
      <c r="L135" t="s">
        <v>19</v>
      </c>
      <c r="M135" t="s">
        <v>46</v>
      </c>
      <c r="N135" s="3">
        <f t="shared" si="12"/>
        <v>0</v>
      </c>
      <c r="O135" s="4">
        <f t="shared" si="13"/>
        <v>35</v>
      </c>
      <c r="P135" s="4">
        <f t="shared" ca="1" si="14"/>
        <v>0</v>
      </c>
      <c r="Q135" s="2" t="str">
        <f t="shared" si="15"/>
        <v>Paid</v>
      </c>
      <c r="R135" t="str">
        <f t="shared" si="16"/>
        <v>Sep</v>
      </c>
      <c r="S135" t="str">
        <f t="shared" si="17"/>
        <v>2025-09</v>
      </c>
    </row>
    <row r="136" spans="1:19" x14ac:dyDescent="0.25">
      <c r="A136" t="s">
        <v>197</v>
      </c>
      <c r="B136" t="s">
        <v>71</v>
      </c>
      <c r="C136" s="1">
        <v>45922</v>
      </c>
      <c r="D136" s="1">
        <v>45952</v>
      </c>
      <c r="E136" s="1">
        <v>45966</v>
      </c>
      <c r="F136" t="s">
        <v>45</v>
      </c>
      <c r="G136" t="s">
        <v>69</v>
      </c>
      <c r="H136">
        <v>2351.2800000000002</v>
      </c>
      <c r="I136">
        <v>2351.2800000000002</v>
      </c>
      <c r="J136" t="s">
        <v>25</v>
      </c>
      <c r="K136" t="s">
        <v>18</v>
      </c>
      <c r="L136" t="s">
        <v>19</v>
      </c>
      <c r="M136" t="s">
        <v>39</v>
      </c>
      <c r="N136" s="3">
        <f t="shared" si="12"/>
        <v>0</v>
      </c>
      <c r="O136" s="4">
        <f t="shared" si="13"/>
        <v>44</v>
      </c>
      <c r="P136" s="4">
        <f t="shared" ca="1" si="14"/>
        <v>0</v>
      </c>
      <c r="Q136" s="2" t="str">
        <f t="shared" si="15"/>
        <v>Paid</v>
      </c>
      <c r="R136" t="str">
        <f t="shared" si="16"/>
        <v>Sep</v>
      </c>
      <c r="S136" t="str">
        <f t="shared" si="17"/>
        <v>2025-09</v>
      </c>
    </row>
    <row r="137" spans="1:19" x14ac:dyDescent="0.25">
      <c r="A137" t="s">
        <v>198</v>
      </c>
      <c r="B137" t="s">
        <v>52</v>
      </c>
      <c r="C137" s="1">
        <v>45923</v>
      </c>
      <c r="D137" s="1">
        <v>45953</v>
      </c>
      <c r="E137" s="1">
        <v>45970</v>
      </c>
      <c r="F137" t="s">
        <v>15</v>
      </c>
      <c r="G137" t="s">
        <v>69</v>
      </c>
      <c r="H137">
        <v>3095.04</v>
      </c>
      <c r="I137">
        <v>3095.04</v>
      </c>
      <c r="J137" t="s">
        <v>25</v>
      </c>
      <c r="K137" t="s">
        <v>26</v>
      </c>
      <c r="L137" t="s">
        <v>27</v>
      </c>
      <c r="M137" t="s">
        <v>28</v>
      </c>
      <c r="N137" s="3">
        <f t="shared" si="12"/>
        <v>0</v>
      </c>
      <c r="O137" s="4">
        <f t="shared" si="13"/>
        <v>47</v>
      </c>
      <c r="P137" s="4">
        <f t="shared" ca="1" si="14"/>
        <v>0</v>
      </c>
      <c r="Q137" s="2" t="str">
        <f t="shared" si="15"/>
        <v>Paid</v>
      </c>
      <c r="R137" t="str">
        <f t="shared" si="16"/>
        <v>Sep</v>
      </c>
      <c r="S137" t="str">
        <f t="shared" si="17"/>
        <v>2025-09</v>
      </c>
    </row>
    <row r="138" spans="1:19" x14ac:dyDescent="0.25">
      <c r="A138" t="s">
        <v>199</v>
      </c>
      <c r="B138" t="s">
        <v>41</v>
      </c>
      <c r="C138" s="1">
        <v>45924</v>
      </c>
      <c r="D138" s="1">
        <v>45954</v>
      </c>
      <c r="F138" t="s">
        <v>45</v>
      </c>
      <c r="G138" t="s">
        <v>16</v>
      </c>
      <c r="H138">
        <v>1191.07</v>
      </c>
      <c r="I138">
        <v>0</v>
      </c>
      <c r="J138" t="s">
        <v>17</v>
      </c>
      <c r="K138" t="s">
        <v>26</v>
      </c>
      <c r="L138" t="s">
        <v>38</v>
      </c>
      <c r="M138" t="s">
        <v>46</v>
      </c>
      <c r="N138" s="3">
        <f t="shared" si="12"/>
        <v>1191.07</v>
      </c>
      <c r="O138" s="4" t="str">
        <f t="shared" si="13"/>
        <v/>
      </c>
      <c r="P138" s="4">
        <f t="shared" ca="1" si="14"/>
        <v>143</v>
      </c>
      <c r="Q138" s="2" t="str">
        <f t="shared" ca="1" si="15"/>
        <v>90+</v>
      </c>
      <c r="R138" t="str">
        <f t="shared" si="16"/>
        <v>Sep</v>
      </c>
      <c r="S138" t="str">
        <f t="shared" si="17"/>
        <v>2025-09</v>
      </c>
    </row>
    <row r="139" spans="1:19" x14ac:dyDescent="0.25">
      <c r="A139" t="s">
        <v>200</v>
      </c>
      <c r="B139" t="s">
        <v>58</v>
      </c>
      <c r="C139" s="1">
        <v>45924</v>
      </c>
      <c r="D139" s="1">
        <v>45954</v>
      </c>
      <c r="E139" s="1">
        <v>45955</v>
      </c>
      <c r="F139" t="s">
        <v>15</v>
      </c>
      <c r="G139" t="s">
        <v>24</v>
      </c>
      <c r="H139">
        <v>4358.54</v>
      </c>
      <c r="I139">
        <v>4358.54</v>
      </c>
      <c r="J139" t="s">
        <v>25</v>
      </c>
      <c r="K139" t="s">
        <v>18</v>
      </c>
      <c r="L139" t="s">
        <v>19</v>
      </c>
      <c r="M139" t="s">
        <v>42</v>
      </c>
      <c r="N139" s="3">
        <f t="shared" si="12"/>
        <v>0</v>
      </c>
      <c r="O139" s="4">
        <f t="shared" si="13"/>
        <v>31</v>
      </c>
      <c r="P139" s="4">
        <f t="shared" ca="1" si="14"/>
        <v>0</v>
      </c>
      <c r="Q139" s="2" t="str">
        <f t="shared" si="15"/>
        <v>Paid</v>
      </c>
      <c r="R139" t="str">
        <f t="shared" si="16"/>
        <v>Sep</v>
      </c>
      <c r="S139" t="str">
        <f t="shared" si="17"/>
        <v>2025-09</v>
      </c>
    </row>
    <row r="140" spans="1:19" x14ac:dyDescent="0.25">
      <c r="A140" t="s">
        <v>201</v>
      </c>
      <c r="B140" t="s">
        <v>58</v>
      </c>
      <c r="C140" s="1">
        <v>45925</v>
      </c>
      <c r="D140" s="1">
        <v>45955</v>
      </c>
      <c r="F140" t="s">
        <v>45</v>
      </c>
      <c r="G140" t="s">
        <v>31</v>
      </c>
      <c r="H140">
        <v>3958.6</v>
      </c>
      <c r="I140">
        <v>0</v>
      </c>
      <c r="J140" t="s">
        <v>17</v>
      </c>
      <c r="K140" t="s">
        <v>26</v>
      </c>
      <c r="L140" t="s">
        <v>34</v>
      </c>
      <c r="M140" t="s">
        <v>32</v>
      </c>
      <c r="N140" s="3">
        <f t="shared" si="12"/>
        <v>3958.6</v>
      </c>
      <c r="O140" s="4" t="str">
        <f t="shared" si="13"/>
        <v/>
      </c>
      <c r="P140" s="4">
        <f t="shared" ca="1" si="14"/>
        <v>142</v>
      </c>
      <c r="Q140" s="2" t="str">
        <f t="shared" ca="1" si="15"/>
        <v>90+</v>
      </c>
      <c r="R140" t="str">
        <f t="shared" si="16"/>
        <v>Sep</v>
      </c>
      <c r="S140" t="str">
        <f t="shared" si="17"/>
        <v>2025-09</v>
      </c>
    </row>
    <row r="141" spans="1:19" x14ac:dyDescent="0.25">
      <c r="A141" t="s">
        <v>202</v>
      </c>
      <c r="B141" t="s">
        <v>22</v>
      </c>
      <c r="C141" s="1">
        <v>45925</v>
      </c>
      <c r="D141" s="1">
        <v>45955</v>
      </c>
      <c r="E141" s="1">
        <v>45968</v>
      </c>
      <c r="F141" t="s">
        <v>45</v>
      </c>
      <c r="G141" t="s">
        <v>37</v>
      </c>
      <c r="H141">
        <v>6586.75</v>
      </c>
      <c r="I141">
        <v>2014.44</v>
      </c>
      <c r="J141" t="s">
        <v>66</v>
      </c>
      <c r="K141" t="s">
        <v>26</v>
      </c>
      <c r="L141" t="s">
        <v>85</v>
      </c>
      <c r="M141" t="s">
        <v>32</v>
      </c>
      <c r="N141" s="3">
        <f t="shared" si="12"/>
        <v>4572.3099999999995</v>
      </c>
      <c r="O141" s="4">
        <f t="shared" si="13"/>
        <v>43</v>
      </c>
      <c r="P141" s="4">
        <f t="shared" ca="1" si="14"/>
        <v>142</v>
      </c>
      <c r="Q141" s="2" t="str">
        <f t="shared" ca="1" si="15"/>
        <v>90+</v>
      </c>
      <c r="R141" t="str">
        <f t="shared" si="16"/>
        <v>Sep</v>
      </c>
      <c r="S141" t="str">
        <f t="shared" si="17"/>
        <v>2025-09</v>
      </c>
    </row>
    <row r="142" spans="1:19" x14ac:dyDescent="0.25">
      <c r="A142" t="s">
        <v>203</v>
      </c>
      <c r="B142" t="s">
        <v>78</v>
      </c>
      <c r="C142" s="1">
        <v>45927</v>
      </c>
      <c r="D142" s="1">
        <v>45957</v>
      </c>
      <c r="E142" s="1">
        <v>45980</v>
      </c>
      <c r="F142" t="s">
        <v>45</v>
      </c>
      <c r="G142" t="s">
        <v>16</v>
      </c>
      <c r="H142">
        <v>2379.4299999999998</v>
      </c>
      <c r="I142">
        <v>1244.19</v>
      </c>
      <c r="J142" t="s">
        <v>66</v>
      </c>
      <c r="K142" t="s">
        <v>18</v>
      </c>
      <c r="L142" t="s">
        <v>19</v>
      </c>
      <c r="M142" t="s">
        <v>28</v>
      </c>
      <c r="N142" s="3">
        <f t="shared" si="12"/>
        <v>1135.2399999999998</v>
      </c>
      <c r="O142" s="4">
        <f t="shared" si="13"/>
        <v>53</v>
      </c>
      <c r="P142" s="4">
        <f t="shared" ca="1" si="14"/>
        <v>140</v>
      </c>
      <c r="Q142" s="2" t="str">
        <f t="shared" ca="1" si="15"/>
        <v>90+</v>
      </c>
      <c r="R142" t="str">
        <f t="shared" si="16"/>
        <v>Sep</v>
      </c>
      <c r="S142" t="str">
        <f t="shared" si="17"/>
        <v>2025-09</v>
      </c>
    </row>
    <row r="143" spans="1:19" x14ac:dyDescent="0.25">
      <c r="A143" t="s">
        <v>204</v>
      </c>
      <c r="B143" t="s">
        <v>52</v>
      </c>
      <c r="C143" s="1">
        <v>45927</v>
      </c>
      <c r="D143" s="1">
        <v>45957</v>
      </c>
      <c r="E143" s="1">
        <v>45966</v>
      </c>
      <c r="F143" t="s">
        <v>30</v>
      </c>
      <c r="G143" t="s">
        <v>24</v>
      </c>
      <c r="H143">
        <v>5300.89</v>
      </c>
      <c r="I143">
        <v>3234.85</v>
      </c>
      <c r="J143" t="s">
        <v>66</v>
      </c>
      <c r="K143" t="s">
        <v>18</v>
      </c>
      <c r="L143" t="s">
        <v>19</v>
      </c>
      <c r="M143" t="s">
        <v>20</v>
      </c>
      <c r="N143" s="3">
        <f t="shared" si="12"/>
        <v>2066.0400000000004</v>
      </c>
      <c r="O143" s="4">
        <f t="shared" si="13"/>
        <v>39</v>
      </c>
      <c r="P143" s="4">
        <f t="shared" ca="1" si="14"/>
        <v>140</v>
      </c>
      <c r="Q143" s="2" t="str">
        <f t="shared" ca="1" si="15"/>
        <v>90+</v>
      </c>
      <c r="R143" t="str">
        <f t="shared" si="16"/>
        <v>Sep</v>
      </c>
      <c r="S143" t="str">
        <f t="shared" si="17"/>
        <v>2025-09</v>
      </c>
    </row>
    <row r="144" spans="1:19" x14ac:dyDescent="0.25">
      <c r="A144" t="s">
        <v>205</v>
      </c>
      <c r="B144" t="s">
        <v>14</v>
      </c>
      <c r="C144" s="1">
        <v>45927</v>
      </c>
      <c r="D144" s="1">
        <v>45957</v>
      </c>
      <c r="E144" s="1">
        <v>45978</v>
      </c>
      <c r="F144" t="s">
        <v>45</v>
      </c>
      <c r="G144" t="s">
        <v>37</v>
      </c>
      <c r="H144">
        <v>2177.5500000000002</v>
      </c>
      <c r="I144">
        <v>2177.5500000000002</v>
      </c>
      <c r="J144" t="s">
        <v>25</v>
      </c>
      <c r="K144" t="s">
        <v>26</v>
      </c>
      <c r="L144" t="s">
        <v>55</v>
      </c>
      <c r="M144" t="s">
        <v>46</v>
      </c>
      <c r="N144" s="3">
        <f t="shared" si="12"/>
        <v>0</v>
      </c>
      <c r="O144" s="4">
        <f t="shared" si="13"/>
        <v>51</v>
      </c>
      <c r="P144" s="4">
        <f t="shared" ca="1" si="14"/>
        <v>0</v>
      </c>
      <c r="Q144" s="2" t="str">
        <f t="shared" si="15"/>
        <v>Paid</v>
      </c>
      <c r="R144" t="str">
        <f t="shared" si="16"/>
        <v>Sep</v>
      </c>
      <c r="S144" t="str">
        <f t="shared" si="17"/>
        <v>2025-09</v>
      </c>
    </row>
    <row r="145" spans="1:19" x14ac:dyDescent="0.25">
      <c r="A145" t="s">
        <v>206</v>
      </c>
      <c r="B145" t="s">
        <v>44</v>
      </c>
      <c r="C145" s="1">
        <v>45928</v>
      </c>
      <c r="D145" s="1">
        <v>45958</v>
      </c>
      <c r="E145" s="1">
        <v>45977</v>
      </c>
      <c r="F145" t="s">
        <v>45</v>
      </c>
      <c r="G145" t="s">
        <v>37</v>
      </c>
      <c r="H145">
        <v>2245.92</v>
      </c>
      <c r="I145">
        <v>2245.92</v>
      </c>
      <c r="J145" t="s">
        <v>25</v>
      </c>
      <c r="K145" t="s">
        <v>18</v>
      </c>
      <c r="L145" t="s">
        <v>19</v>
      </c>
      <c r="M145" t="s">
        <v>39</v>
      </c>
      <c r="N145" s="3">
        <f t="shared" si="12"/>
        <v>0</v>
      </c>
      <c r="O145" s="4">
        <f t="shared" si="13"/>
        <v>49</v>
      </c>
      <c r="P145" s="4">
        <f t="shared" ca="1" si="14"/>
        <v>0</v>
      </c>
      <c r="Q145" s="2" t="str">
        <f t="shared" si="15"/>
        <v>Paid</v>
      </c>
      <c r="R145" t="str">
        <f t="shared" si="16"/>
        <v>Sep</v>
      </c>
      <c r="S145" t="str">
        <f t="shared" si="17"/>
        <v>2025-09</v>
      </c>
    </row>
    <row r="146" spans="1:19" x14ac:dyDescent="0.25">
      <c r="A146" t="s">
        <v>207</v>
      </c>
      <c r="B146" t="s">
        <v>76</v>
      </c>
      <c r="C146" s="1">
        <v>45929</v>
      </c>
      <c r="D146" s="1">
        <v>45959</v>
      </c>
      <c r="E146" s="1">
        <v>45978</v>
      </c>
      <c r="F146" t="s">
        <v>15</v>
      </c>
      <c r="G146" t="s">
        <v>53</v>
      </c>
      <c r="H146">
        <v>5813.75</v>
      </c>
      <c r="I146">
        <v>5813.75</v>
      </c>
      <c r="J146" t="s">
        <v>25</v>
      </c>
      <c r="K146" t="s">
        <v>18</v>
      </c>
      <c r="L146" t="s">
        <v>19</v>
      </c>
      <c r="M146" t="s">
        <v>28</v>
      </c>
      <c r="N146" s="3">
        <f t="shared" si="12"/>
        <v>0</v>
      </c>
      <c r="O146" s="4">
        <f t="shared" si="13"/>
        <v>49</v>
      </c>
      <c r="P146" s="4">
        <f t="shared" ca="1" si="14"/>
        <v>0</v>
      </c>
      <c r="Q146" s="2" t="str">
        <f t="shared" si="15"/>
        <v>Paid</v>
      </c>
      <c r="R146" t="str">
        <f t="shared" si="16"/>
        <v>Sep</v>
      </c>
      <c r="S146" t="str">
        <f t="shared" si="17"/>
        <v>2025-09</v>
      </c>
    </row>
    <row r="147" spans="1:19" x14ac:dyDescent="0.25">
      <c r="A147" t="s">
        <v>208</v>
      </c>
      <c r="B147" t="s">
        <v>78</v>
      </c>
      <c r="C147" s="1">
        <v>45929</v>
      </c>
      <c r="D147" s="1">
        <v>45959</v>
      </c>
      <c r="F147" t="s">
        <v>59</v>
      </c>
      <c r="G147" t="s">
        <v>53</v>
      </c>
      <c r="H147">
        <v>6462.89</v>
      </c>
      <c r="I147">
        <v>0</v>
      </c>
      <c r="J147" t="s">
        <v>17</v>
      </c>
      <c r="K147" t="s">
        <v>26</v>
      </c>
      <c r="L147" t="s">
        <v>38</v>
      </c>
      <c r="M147" t="s">
        <v>32</v>
      </c>
      <c r="N147" s="3">
        <f t="shared" si="12"/>
        <v>6462.89</v>
      </c>
      <c r="O147" s="4" t="str">
        <f t="shared" si="13"/>
        <v/>
      </c>
      <c r="P147" s="4">
        <f t="shared" ca="1" si="14"/>
        <v>138</v>
      </c>
      <c r="Q147" s="2" t="str">
        <f t="shared" ca="1" si="15"/>
        <v>90+</v>
      </c>
      <c r="R147" t="str">
        <f t="shared" si="16"/>
        <v>Sep</v>
      </c>
      <c r="S147" t="str">
        <f t="shared" si="17"/>
        <v>2025-09</v>
      </c>
    </row>
    <row r="148" spans="1:19" x14ac:dyDescent="0.25">
      <c r="A148" t="s">
        <v>209</v>
      </c>
      <c r="B148" t="s">
        <v>126</v>
      </c>
      <c r="C148" s="1">
        <v>45929</v>
      </c>
      <c r="D148" s="1">
        <v>45959</v>
      </c>
      <c r="E148" s="1">
        <v>45980</v>
      </c>
      <c r="F148" t="s">
        <v>23</v>
      </c>
      <c r="G148" t="s">
        <v>16</v>
      </c>
      <c r="H148">
        <v>987.55</v>
      </c>
      <c r="I148">
        <v>987.55</v>
      </c>
      <c r="J148" t="s">
        <v>25</v>
      </c>
      <c r="K148" t="s">
        <v>18</v>
      </c>
      <c r="L148" t="s">
        <v>19</v>
      </c>
      <c r="M148" t="s">
        <v>20</v>
      </c>
      <c r="N148" s="3">
        <f t="shared" si="12"/>
        <v>0</v>
      </c>
      <c r="O148" s="4">
        <f t="shared" si="13"/>
        <v>51</v>
      </c>
      <c r="P148" s="4">
        <f t="shared" ca="1" si="14"/>
        <v>0</v>
      </c>
      <c r="Q148" s="2" t="str">
        <f t="shared" si="15"/>
        <v>Paid</v>
      </c>
      <c r="R148" t="str">
        <f t="shared" si="16"/>
        <v>Sep</v>
      </c>
      <c r="S148" t="str">
        <f t="shared" si="17"/>
        <v>2025-09</v>
      </c>
    </row>
    <row r="149" spans="1:19" x14ac:dyDescent="0.25">
      <c r="A149" t="s">
        <v>210</v>
      </c>
      <c r="B149" t="s">
        <v>22</v>
      </c>
      <c r="C149" s="1">
        <v>45931</v>
      </c>
      <c r="D149" s="1">
        <v>45961</v>
      </c>
      <c r="F149" t="s">
        <v>15</v>
      </c>
      <c r="G149" t="s">
        <v>31</v>
      </c>
      <c r="H149">
        <v>943.43</v>
      </c>
      <c r="I149">
        <v>0</v>
      </c>
      <c r="J149" t="s">
        <v>17</v>
      </c>
      <c r="K149" t="s">
        <v>26</v>
      </c>
      <c r="L149" t="s">
        <v>34</v>
      </c>
      <c r="M149" t="s">
        <v>46</v>
      </c>
      <c r="N149" s="3">
        <f t="shared" si="12"/>
        <v>943.43</v>
      </c>
      <c r="O149" s="4" t="str">
        <f t="shared" si="13"/>
        <v/>
      </c>
      <c r="P149" s="4">
        <f t="shared" ca="1" si="14"/>
        <v>136</v>
      </c>
      <c r="Q149" s="2" t="str">
        <f t="shared" ca="1" si="15"/>
        <v>90+</v>
      </c>
      <c r="R149" t="str">
        <f t="shared" si="16"/>
        <v>Oct</v>
      </c>
      <c r="S149" t="str">
        <f t="shared" si="17"/>
        <v>2025-10</v>
      </c>
    </row>
    <row r="150" spans="1:19" x14ac:dyDescent="0.25">
      <c r="A150" t="s">
        <v>211</v>
      </c>
      <c r="B150" t="s">
        <v>118</v>
      </c>
      <c r="C150" s="1">
        <v>45932</v>
      </c>
      <c r="D150" s="1">
        <v>45962</v>
      </c>
      <c r="E150" s="1">
        <v>45962</v>
      </c>
      <c r="F150" t="s">
        <v>30</v>
      </c>
      <c r="G150" t="s">
        <v>69</v>
      </c>
      <c r="H150">
        <v>460.09</v>
      </c>
      <c r="I150">
        <v>460.09</v>
      </c>
      <c r="J150" t="s">
        <v>25</v>
      </c>
      <c r="K150" t="s">
        <v>18</v>
      </c>
      <c r="L150" t="s">
        <v>19</v>
      </c>
      <c r="M150" t="s">
        <v>20</v>
      </c>
      <c r="N150" s="3">
        <f t="shared" si="12"/>
        <v>0</v>
      </c>
      <c r="O150" s="4">
        <f t="shared" si="13"/>
        <v>30</v>
      </c>
      <c r="P150" s="4">
        <f t="shared" ca="1" si="14"/>
        <v>0</v>
      </c>
      <c r="Q150" s="2" t="str">
        <f t="shared" si="15"/>
        <v>Paid</v>
      </c>
      <c r="R150" t="str">
        <f t="shared" si="16"/>
        <v>Oct</v>
      </c>
      <c r="S150" t="str">
        <f t="shared" si="17"/>
        <v>2025-10</v>
      </c>
    </row>
    <row r="151" spans="1:19" x14ac:dyDescent="0.25">
      <c r="A151" t="s">
        <v>212</v>
      </c>
      <c r="B151" t="s">
        <v>96</v>
      </c>
      <c r="C151" s="1">
        <v>45935</v>
      </c>
      <c r="D151" s="1">
        <v>45965</v>
      </c>
      <c r="E151" s="1">
        <v>45965</v>
      </c>
      <c r="F151" t="s">
        <v>59</v>
      </c>
      <c r="G151" t="s">
        <v>24</v>
      </c>
      <c r="H151">
        <v>2563.1999999999998</v>
      </c>
      <c r="I151">
        <v>2563.1999999999998</v>
      </c>
      <c r="J151" t="s">
        <v>25</v>
      </c>
      <c r="K151" t="s">
        <v>18</v>
      </c>
      <c r="L151" t="s">
        <v>19</v>
      </c>
      <c r="M151" t="s">
        <v>20</v>
      </c>
      <c r="N151" s="3">
        <f t="shared" si="12"/>
        <v>0</v>
      </c>
      <c r="O151" s="4">
        <f t="shared" si="13"/>
        <v>30</v>
      </c>
      <c r="P151" s="4">
        <f t="shared" ca="1" si="14"/>
        <v>0</v>
      </c>
      <c r="Q151" s="2" t="str">
        <f t="shared" si="15"/>
        <v>Paid</v>
      </c>
      <c r="R151" t="str">
        <f t="shared" si="16"/>
        <v>Oct</v>
      </c>
      <c r="S151" t="str">
        <f t="shared" si="17"/>
        <v>2025-10</v>
      </c>
    </row>
    <row r="152" spans="1:19" x14ac:dyDescent="0.25">
      <c r="A152" t="s">
        <v>213</v>
      </c>
      <c r="B152" t="s">
        <v>96</v>
      </c>
      <c r="C152" s="1">
        <v>45939</v>
      </c>
      <c r="D152" s="1">
        <v>45969</v>
      </c>
      <c r="E152" s="1">
        <v>45994</v>
      </c>
      <c r="F152" t="s">
        <v>30</v>
      </c>
      <c r="G152" t="s">
        <v>24</v>
      </c>
      <c r="H152">
        <v>1097.72</v>
      </c>
      <c r="I152">
        <v>1097.72</v>
      </c>
      <c r="J152" t="s">
        <v>25</v>
      </c>
      <c r="K152" t="s">
        <v>18</v>
      </c>
      <c r="L152" t="s">
        <v>19</v>
      </c>
      <c r="M152" t="s">
        <v>46</v>
      </c>
      <c r="N152" s="3">
        <f t="shared" si="12"/>
        <v>0</v>
      </c>
      <c r="O152" s="4">
        <f t="shared" si="13"/>
        <v>55</v>
      </c>
      <c r="P152" s="4">
        <f t="shared" ca="1" si="14"/>
        <v>0</v>
      </c>
      <c r="Q152" s="2" t="str">
        <f t="shared" si="15"/>
        <v>Paid</v>
      </c>
      <c r="R152" t="str">
        <f t="shared" si="16"/>
        <v>Oct</v>
      </c>
      <c r="S152" t="str">
        <f t="shared" si="17"/>
        <v>2025-10</v>
      </c>
    </row>
    <row r="153" spans="1:19" x14ac:dyDescent="0.25">
      <c r="A153" t="s">
        <v>214</v>
      </c>
      <c r="B153" t="s">
        <v>81</v>
      </c>
      <c r="C153" s="1">
        <v>45941</v>
      </c>
      <c r="D153" s="1">
        <v>45971</v>
      </c>
      <c r="E153" s="1">
        <v>45986</v>
      </c>
      <c r="F153" t="s">
        <v>15</v>
      </c>
      <c r="G153" t="s">
        <v>31</v>
      </c>
      <c r="H153">
        <v>1491.62</v>
      </c>
      <c r="I153">
        <v>1491.62</v>
      </c>
      <c r="J153" t="s">
        <v>25</v>
      </c>
      <c r="K153" t="s">
        <v>26</v>
      </c>
      <c r="L153" t="s">
        <v>113</v>
      </c>
      <c r="M153" t="s">
        <v>46</v>
      </c>
      <c r="N153" s="3">
        <f t="shared" si="12"/>
        <v>0</v>
      </c>
      <c r="O153" s="4">
        <f t="shared" si="13"/>
        <v>45</v>
      </c>
      <c r="P153" s="4">
        <f t="shared" ca="1" si="14"/>
        <v>0</v>
      </c>
      <c r="Q153" s="2" t="str">
        <f t="shared" si="15"/>
        <v>Paid</v>
      </c>
      <c r="R153" t="str">
        <f t="shared" si="16"/>
        <v>Oct</v>
      </c>
      <c r="S153" t="str">
        <f t="shared" si="17"/>
        <v>2025-10</v>
      </c>
    </row>
    <row r="154" spans="1:19" x14ac:dyDescent="0.25">
      <c r="A154" t="s">
        <v>215</v>
      </c>
      <c r="B154" t="s">
        <v>71</v>
      </c>
      <c r="C154" s="1">
        <v>45943</v>
      </c>
      <c r="D154" s="1">
        <v>45973</v>
      </c>
      <c r="E154" s="1">
        <v>45966</v>
      </c>
      <c r="F154" t="s">
        <v>15</v>
      </c>
      <c r="G154" t="s">
        <v>69</v>
      </c>
      <c r="H154">
        <v>2421.65</v>
      </c>
      <c r="I154">
        <v>2421.65</v>
      </c>
      <c r="J154" t="s">
        <v>25</v>
      </c>
      <c r="K154" t="s">
        <v>26</v>
      </c>
      <c r="L154" t="s">
        <v>38</v>
      </c>
      <c r="M154" t="s">
        <v>46</v>
      </c>
      <c r="N154" s="3">
        <f t="shared" si="12"/>
        <v>0</v>
      </c>
      <c r="O154" s="4">
        <f t="shared" si="13"/>
        <v>23</v>
      </c>
      <c r="P154" s="4">
        <f t="shared" ca="1" si="14"/>
        <v>0</v>
      </c>
      <c r="Q154" s="2" t="str">
        <f t="shared" si="15"/>
        <v>Paid</v>
      </c>
      <c r="R154" t="str">
        <f t="shared" si="16"/>
        <v>Oct</v>
      </c>
      <c r="S154" t="str">
        <f t="shared" si="17"/>
        <v>2025-10</v>
      </c>
    </row>
    <row r="155" spans="1:19" x14ac:dyDescent="0.25">
      <c r="A155" t="s">
        <v>216</v>
      </c>
      <c r="B155" t="s">
        <v>58</v>
      </c>
      <c r="C155" s="1">
        <v>45943</v>
      </c>
      <c r="D155" s="1">
        <v>45973</v>
      </c>
      <c r="E155" s="1">
        <v>45995</v>
      </c>
      <c r="F155" t="s">
        <v>15</v>
      </c>
      <c r="G155" t="s">
        <v>24</v>
      </c>
      <c r="H155">
        <v>3672.81</v>
      </c>
      <c r="I155">
        <v>3672.81</v>
      </c>
      <c r="J155" t="s">
        <v>25</v>
      </c>
      <c r="K155" t="s">
        <v>18</v>
      </c>
      <c r="L155" t="s">
        <v>19</v>
      </c>
      <c r="M155" t="s">
        <v>20</v>
      </c>
      <c r="N155" s="3">
        <f t="shared" si="12"/>
        <v>0</v>
      </c>
      <c r="O155" s="4">
        <f t="shared" si="13"/>
        <v>52</v>
      </c>
      <c r="P155" s="4">
        <f t="shared" ca="1" si="14"/>
        <v>0</v>
      </c>
      <c r="Q155" s="2" t="str">
        <f t="shared" si="15"/>
        <v>Paid</v>
      </c>
      <c r="R155" t="str">
        <f t="shared" si="16"/>
        <v>Oct</v>
      </c>
      <c r="S155" t="str">
        <f t="shared" si="17"/>
        <v>2025-10</v>
      </c>
    </row>
    <row r="156" spans="1:19" x14ac:dyDescent="0.25">
      <c r="A156" t="s">
        <v>217</v>
      </c>
      <c r="B156" t="s">
        <v>96</v>
      </c>
      <c r="C156" s="1">
        <v>45943</v>
      </c>
      <c r="D156" s="1">
        <v>45973</v>
      </c>
      <c r="E156" s="1">
        <v>45969</v>
      </c>
      <c r="F156" t="s">
        <v>45</v>
      </c>
      <c r="G156" t="s">
        <v>16</v>
      </c>
      <c r="H156">
        <v>1960.87</v>
      </c>
      <c r="I156">
        <v>1960.87</v>
      </c>
      <c r="J156" t="s">
        <v>25</v>
      </c>
      <c r="K156" t="s">
        <v>18</v>
      </c>
      <c r="L156" t="s">
        <v>19</v>
      </c>
      <c r="M156" t="s">
        <v>32</v>
      </c>
      <c r="N156" s="3">
        <f t="shared" si="12"/>
        <v>0</v>
      </c>
      <c r="O156" s="4">
        <f t="shared" si="13"/>
        <v>26</v>
      </c>
      <c r="P156" s="4">
        <f t="shared" ca="1" si="14"/>
        <v>0</v>
      </c>
      <c r="Q156" s="2" t="str">
        <f t="shared" si="15"/>
        <v>Paid</v>
      </c>
      <c r="R156" t="str">
        <f t="shared" si="16"/>
        <v>Oct</v>
      </c>
      <c r="S156" t="str">
        <f t="shared" si="17"/>
        <v>2025-10</v>
      </c>
    </row>
    <row r="157" spans="1:19" x14ac:dyDescent="0.25">
      <c r="A157" t="s">
        <v>218</v>
      </c>
      <c r="B157" t="s">
        <v>99</v>
      </c>
      <c r="C157" s="1">
        <v>45944</v>
      </c>
      <c r="D157" s="1">
        <v>45974</v>
      </c>
      <c r="E157" s="1">
        <v>45971</v>
      </c>
      <c r="F157" t="s">
        <v>45</v>
      </c>
      <c r="G157" t="s">
        <v>53</v>
      </c>
      <c r="H157">
        <v>1515.35</v>
      </c>
      <c r="I157">
        <v>433.89</v>
      </c>
      <c r="J157" t="s">
        <v>66</v>
      </c>
      <c r="K157" t="s">
        <v>26</v>
      </c>
      <c r="L157" t="s">
        <v>55</v>
      </c>
      <c r="M157" t="s">
        <v>42</v>
      </c>
      <c r="N157" s="3">
        <f t="shared" si="12"/>
        <v>1081.46</v>
      </c>
      <c r="O157" s="4">
        <f t="shared" si="13"/>
        <v>27</v>
      </c>
      <c r="P157" s="4">
        <f t="shared" ca="1" si="14"/>
        <v>123</v>
      </c>
      <c r="Q157" s="2" t="str">
        <f t="shared" ca="1" si="15"/>
        <v>90+</v>
      </c>
      <c r="R157" t="str">
        <f t="shared" si="16"/>
        <v>Oct</v>
      </c>
      <c r="S157" t="str">
        <f t="shared" si="17"/>
        <v>2025-10</v>
      </c>
    </row>
    <row r="158" spans="1:19" x14ac:dyDescent="0.25">
      <c r="A158" t="s">
        <v>219</v>
      </c>
      <c r="B158" t="s">
        <v>71</v>
      </c>
      <c r="C158" s="1">
        <v>45947</v>
      </c>
      <c r="D158" s="1">
        <v>45977</v>
      </c>
      <c r="E158" s="1">
        <v>45998</v>
      </c>
      <c r="F158" t="s">
        <v>30</v>
      </c>
      <c r="G158" t="s">
        <v>69</v>
      </c>
      <c r="H158">
        <v>2646.21</v>
      </c>
      <c r="I158">
        <v>2646.21</v>
      </c>
      <c r="J158" t="s">
        <v>25</v>
      </c>
      <c r="K158" t="s">
        <v>18</v>
      </c>
      <c r="L158" t="s">
        <v>19</v>
      </c>
      <c r="M158" t="s">
        <v>39</v>
      </c>
      <c r="N158" s="3">
        <f t="shared" si="12"/>
        <v>0</v>
      </c>
      <c r="O158" s="4">
        <f t="shared" si="13"/>
        <v>51</v>
      </c>
      <c r="P158" s="4">
        <f t="shared" ca="1" si="14"/>
        <v>0</v>
      </c>
      <c r="Q158" s="2" t="str">
        <f t="shared" si="15"/>
        <v>Paid</v>
      </c>
      <c r="R158" t="str">
        <f t="shared" si="16"/>
        <v>Oct</v>
      </c>
      <c r="S158" t="str">
        <f t="shared" si="17"/>
        <v>2025-10</v>
      </c>
    </row>
    <row r="159" spans="1:19" x14ac:dyDescent="0.25">
      <c r="A159" t="s">
        <v>220</v>
      </c>
      <c r="B159" t="s">
        <v>50</v>
      </c>
      <c r="C159" s="1">
        <v>45951</v>
      </c>
      <c r="D159" s="1">
        <v>45981</v>
      </c>
      <c r="F159" t="s">
        <v>30</v>
      </c>
      <c r="G159" t="s">
        <v>69</v>
      </c>
      <c r="H159">
        <v>1820.69</v>
      </c>
      <c r="I159">
        <v>0</v>
      </c>
      <c r="J159" t="s">
        <v>17</v>
      </c>
      <c r="K159" t="s">
        <v>18</v>
      </c>
      <c r="L159" t="s">
        <v>19</v>
      </c>
      <c r="M159" t="s">
        <v>46</v>
      </c>
      <c r="N159" s="3">
        <f t="shared" si="12"/>
        <v>1820.69</v>
      </c>
      <c r="O159" s="4" t="str">
        <f t="shared" si="13"/>
        <v/>
      </c>
      <c r="P159" s="4">
        <f t="shared" ca="1" si="14"/>
        <v>116</v>
      </c>
      <c r="Q159" s="2" t="str">
        <f t="shared" ca="1" si="15"/>
        <v>90+</v>
      </c>
      <c r="R159" t="str">
        <f t="shared" si="16"/>
        <v>Oct</v>
      </c>
      <c r="S159" t="str">
        <f t="shared" si="17"/>
        <v>2025-10</v>
      </c>
    </row>
    <row r="160" spans="1:19" x14ac:dyDescent="0.25">
      <c r="A160" t="s">
        <v>221</v>
      </c>
      <c r="B160" t="s">
        <v>58</v>
      </c>
      <c r="C160" s="1">
        <v>45953</v>
      </c>
      <c r="D160" s="1">
        <v>45983</v>
      </c>
      <c r="E160" s="1">
        <v>45964</v>
      </c>
      <c r="F160" t="s">
        <v>45</v>
      </c>
      <c r="G160" t="s">
        <v>16</v>
      </c>
      <c r="H160">
        <v>1813.96</v>
      </c>
      <c r="I160">
        <v>1813.96</v>
      </c>
      <c r="J160" t="s">
        <v>25</v>
      </c>
      <c r="K160" t="s">
        <v>18</v>
      </c>
      <c r="L160" t="s">
        <v>19</v>
      </c>
      <c r="M160" t="s">
        <v>28</v>
      </c>
      <c r="N160" s="3">
        <f t="shared" si="12"/>
        <v>0</v>
      </c>
      <c r="O160" s="4">
        <f t="shared" si="13"/>
        <v>11</v>
      </c>
      <c r="P160" s="4">
        <f t="shared" ca="1" si="14"/>
        <v>0</v>
      </c>
      <c r="Q160" s="2" t="str">
        <f t="shared" si="15"/>
        <v>Paid</v>
      </c>
      <c r="R160" t="str">
        <f t="shared" si="16"/>
        <v>Oct</v>
      </c>
      <c r="S160" t="str">
        <f t="shared" si="17"/>
        <v>2025-10</v>
      </c>
    </row>
    <row r="161" spans="1:19" x14ac:dyDescent="0.25">
      <c r="A161" t="s">
        <v>222</v>
      </c>
      <c r="B161" t="s">
        <v>76</v>
      </c>
      <c r="C161" s="1">
        <v>45953</v>
      </c>
      <c r="D161" s="1">
        <v>45983</v>
      </c>
      <c r="F161" t="s">
        <v>30</v>
      </c>
      <c r="G161" t="s">
        <v>31</v>
      </c>
      <c r="H161">
        <v>2609.84</v>
      </c>
      <c r="I161">
        <v>0</v>
      </c>
      <c r="J161" t="s">
        <v>17</v>
      </c>
      <c r="K161" t="s">
        <v>18</v>
      </c>
      <c r="L161" t="s">
        <v>19</v>
      </c>
      <c r="M161" t="s">
        <v>39</v>
      </c>
      <c r="N161" s="3">
        <f t="shared" si="12"/>
        <v>2609.84</v>
      </c>
      <c r="O161" s="4" t="str">
        <f t="shared" si="13"/>
        <v/>
      </c>
      <c r="P161" s="4">
        <f t="shared" ca="1" si="14"/>
        <v>114</v>
      </c>
      <c r="Q161" s="2" t="str">
        <f t="shared" ca="1" si="15"/>
        <v>90+</v>
      </c>
      <c r="R161" t="str">
        <f t="shared" si="16"/>
        <v>Oct</v>
      </c>
      <c r="S161" t="str">
        <f t="shared" si="17"/>
        <v>2025-10</v>
      </c>
    </row>
    <row r="162" spans="1:19" x14ac:dyDescent="0.25">
      <c r="A162" t="s">
        <v>223</v>
      </c>
      <c r="B162" t="s">
        <v>64</v>
      </c>
      <c r="C162" s="1">
        <v>45954</v>
      </c>
      <c r="D162" s="1">
        <v>45984</v>
      </c>
      <c r="F162" t="s">
        <v>15</v>
      </c>
      <c r="G162" t="s">
        <v>37</v>
      </c>
      <c r="H162">
        <v>3674.92</v>
      </c>
      <c r="I162">
        <v>1859.67</v>
      </c>
      <c r="J162" t="s">
        <v>66</v>
      </c>
      <c r="K162" t="s">
        <v>26</v>
      </c>
      <c r="L162" t="s">
        <v>93</v>
      </c>
      <c r="M162" t="s">
        <v>39</v>
      </c>
      <c r="N162" s="3">
        <f t="shared" si="12"/>
        <v>1815.25</v>
      </c>
      <c r="O162" s="4" t="str">
        <f t="shared" si="13"/>
        <v/>
      </c>
      <c r="P162" s="4">
        <f t="shared" ca="1" si="14"/>
        <v>113</v>
      </c>
      <c r="Q162" s="2" t="str">
        <f t="shared" ca="1" si="15"/>
        <v>90+</v>
      </c>
      <c r="R162" t="str">
        <f t="shared" si="16"/>
        <v>Oct</v>
      </c>
      <c r="S162" t="str">
        <f t="shared" si="17"/>
        <v>2025-10</v>
      </c>
    </row>
    <row r="163" spans="1:19" x14ac:dyDescent="0.25">
      <c r="A163" t="s">
        <v>224</v>
      </c>
      <c r="B163" t="s">
        <v>48</v>
      </c>
      <c r="C163" s="1">
        <v>45955</v>
      </c>
      <c r="D163" s="1">
        <v>45985</v>
      </c>
      <c r="F163" t="s">
        <v>45</v>
      </c>
      <c r="G163" t="s">
        <v>24</v>
      </c>
      <c r="H163">
        <v>2122.5</v>
      </c>
      <c r="I163">
        <v>0</v>
      </c>
      <c r="J163" t="s">
        <v>17</v>
      </c>
      <c r="K163" t="s">
        <v>18</v>
      </c>
      <c r="L163" t="s">
        <v>19</v>
      </c>
      <c r="M163" t="s">
        <v>39</v>
      </c>
      <c r="N163" s="3">
        <f t="shared" si="12"/>
        <v>2122.5</v>
      </c>
      <c r="O163" s="4" t="str">
        <f t="shared" si="13"/>
        <v/>
      </c>
      <c r="P163" s="4">
        <f t="shared" ca="1" si="14"/>
        <v>112</v>
      </c>
      <c r="Q163" s="2" t="str">
        <f t="shared" ca="1" si="15"/>
        <v>90+</v>
      </c>
      <c r="R163" t="str">
        <f t="shared" si="16"/>
        <v>Oct</v>
      </c>
      <c r="S163" t="str">
        <f t="shared" si="17"/>
        <v>2025-10</v>
      </c>
    </row>
    <row r="164" spans="1:19" x14ac:dyDescent="0.25">
      <c r="A164" t="s">
        <v>225</v>
      </c>
      <c r="B164" t="s">
        <v>111</v>
      </c>
      <c r="C164" s="1">
        <v>45956</v>
      </c>
      <c r="D164" s="1">
        <v>45986</v>
      </c>
      <c r="E164" s="1">
        <v>45985</v>
      </c>
      <c r="F164" t="s">
        <v>23</v>
      </c>
      <c r="G164" t="s">
        <v>24</v>
      </c>
      <c r="H164">
        <v>5916.08</v>
      </c>
      <c r="I164">
        <v>5916.08</v>
      </c>
      <c r="J164" t="s">
        <v>25</v>
      </c>
      <c r="K164" t="s">
        <v>18</v>
      </c>
      <c r="L164" t="s">
        <v>19</v>
      </c>
      <c r="M164" t="s">
        <v>28</v>
      </c>
      <c r="N164" s="3">
        <f t="shared" si="12"/>
        <v>0</v>
      </c>
      <c r="O164" s="4">
        <f t="shared" si="13"/>
        <v>29</v>
      </c>
      <c r="P164" s="4">
        <f t="shared" ca="1" si="14"/>
        <v>0</v>
      </c>
      <c r="Q164" s="2" t="str">
        <f t="shared" si="15"/>
        <v>Paid</v>
      </c>
      <c r="R164" t="str">
        <f t="shared" si="16"/>
        <v>Oct</v>
      </c>
      <c r="S164" t="str">
        <f t="shared" si="17"/>
        <v>2025-10</v>
      </c>
    </row>
    <row r="165" spans="1:19" x14ac:dyDescent="0.25">
      <c r="A165" t="s">
        <v>226</v>
      </c>
      <c r="B165" t="s">
        <v>71</v>
      </c>
      <c r="C165" s="1">
        <v>45957</v>
      </c>
      <c r="D165" s="1">
        <v>45987</v>
      </c>
      <c r="F165" t="s">
        <v>30</v>
      </c>
      <c r="G165" t="s">
        <v>16</v>
      </c>
      <c r="H165">
        <v>1823.95</v>
      </c>
      <c r="I165">
        <v>1388.76</v>
      </c>
      <c r="J165" t="s">
        <v>66</v>
      </c>
      <c r="K165" t="s">
        <v>18</v>
      </c>
      <c r="L165" t="s">
        <v>19</v>
      </c>
      <c r="M165" t="s">
        <v>39</v>
      </c>
      <c r="N165" s="3">
        <f t="shared" si="12"/>
        <v>435.19000000000005</v>
      </c>
      <c r="O165" s="4" t="str">
        <f t="shared" si="13"/>
        <v/>
      </c>
      <c r="P165" s="4">
        <f t="shared" ca="1" si="14"/>
        <v>110</v>
      </c>
      <c r="Q165" s="2" t="str">
        <f t="shared" ca="1" si="15"/>
        <v>90+</v>
      </c>
      <c r="R165" t="str">
        <f t="shared" si="16"/>
        <v>Oct</v>
      </c>
      <c r="S165" t="str">
        <f t="shared" si="17"/>
        <v>2025-10</v>
      </c>
    </row>
    <row r="166" spans="1:19" x14ac:dyDescent="0.25">
      <c r="A166" t="s">
        <v>227</v>
      </c>
      <c r="B166" t="s">
        <v>96</v>
      </c>
      <c r="C166" s="1">
        <v>45958</v>
      </c>
      <c r="D166" s="1">
        <v>45988</v>
      </c>
      <c r="E166" s="1">
        <v>45996</v>
      </c>
      <c r="F166" t="s">
        <v>23</v>
      </c>
      <c r="G166" t="s">
        <v>24</v>
      </c>
      <c r="H166">
        <v>3449.02</v>
      </c>
      <c r="I166">
        <v>3449.02</v>
      </c>
      <c r="J166" t="s">
        <v>25</v>
      </c>
      <c r="K166" t="s">
        <v>18</v>
      </c>
      <c r="L166" t="s">
        <v>19</v>
      </c>
      <c r="M166" t="s">
        <v>32</v>
      </c>
      <c r="N166" s="3">
        <f t="shared" si="12"/>
        <v>0</v>
      </c>
      <c r="O166" s="4">
        <f t="shared" si="13"/>
        <v>38</v>
      </c>
      <c r="P166" s="4">
        <f t="shared" ca="1" si="14"/>
        <v>0</v>
      </c>
      <c r="Q166" s="2" t="str">
        <f t="shared" si="15"/>
        <v>Paid</v>
      </c>
      <c r="R166" t="str">
        <f t="shared" si="16"/>
        <v>Oct</v>
      </c>
      <c r="S166" t="str">
        <f t="shared" si="17"/>
        <v>2025-10</v>
      </c>
    </row>
    <row r="167" spans="1:19" x14ac:dyDescent="0.25">
      <c r="A167" t="s">
        <v>228</v>
      </c>
      <c r="B167" t="s">
        <v>41</v>
      </c>
      <c r="C167" s="1">
        <v>45959</v>
      </c>
      <c r="D167" s="1">
        <v>45989</v>
      </c>
      <c r="E167" s="1">
        <v>45994</v>
      </c>
      <c r="F167" t="s">
        <v>59</v>
      </c>
      <c r="G167" t="s">
        <v>31</v>
      </c>
      <c r="H167">
        <v>1261.6400000000001</v>
      </c>
      <c r="I167">
        <v>1261.6400000000001</v>
      </c>
      <c r="J167" t="s">
        <v>25</v>
      </c>
      <c r="K167" t="s">
        <v>18</v>
      </c>
      <c r="L167" t="s">
        <v>19</v>
      </c>
      <c r="M167" t="s">
        <v>20</v>
      </c>
      <c r="N167" s="3">
        <f t="shared" si="12"/>
        <v>0</v>
      </c>
      <c r="O167" s="4">
        <f t="shared" si="13"/>
        <v>35</v>
      </c>
      <c r="P167" s="4">
        <f t="shared" ca="1" si="14"/>
        <v>0</v>
      </c>
      <c r="Q167" s="2" t="str">
        <f t="shared" si="15"/>
        <v>Paid</v>
      </c>
      <c r="R167" t="str">
        <f t="shared" si="16"/>
        <v>Oct</v>
      </c>
      <c r="S167" t="str">
        <f t="shared" si="17"/>
        <v>2025-10</v>
      </c>
    </row>
    <row r="168" spans="1:19" x14ac:dyDescent="0.25">
      <c r="A168" t="s">
        <v>229</v>
      </c>
      <c r="B168" t="s">
        <v>44</v>
      </c>
      <c r="C168" s="1">
        <v>45959</v>
      </c>
      <c r="D168" s="1">
        <v>45989</v>
      </c>
      <c r="E168" s="1">
        <v>45970</v>
      </c>
      <c r="F168" t="s">
        <v>59</v>
      </c>
      <c r="G168" t="s">
        <v>53</v>
      </c>
      <c r="H168">
        <v>6974.3</v>
      </c>
      <c r="I168">
        <v>6974.3</v>
      </c>
      <c r="J168" t="s">
        <v>25</v>
      </c>
      <c r="K168" t="s">
        <v>18</v>
      </c>
      <c r="L168" t="s">
        <v>19</v>
      </c>
      <c r="M168" t="s">
        <v>42</v>
      </c>
      <c r="N168" s="3">
        <f t="shared" si="12"/>
        <v>0</v>
      </c>
      <c r="O168" s="4">
        <f t="shared" si="13"/>
        <v>11</v>
      </c>
      <c r="P168" s="4">
        <f t="shared" ca="1" si="14"/>
        <v>0</v>
      </c>
      <c r="Q168" s="2" t="str">
        <f t="shared" si="15"/>
        <v>Paid</v>
      </c>
      <c r="R168" t="str">
        <f t="shared" si="16"/>
        <v>Oct</v>
      </c>
      <c r="S168" t="str">
        <f t="shared" si="17"/>
        <v>2025-10</v>
      </c>
    </row>
    <row r="169" spans="1:19" x14ac:dyDescent="0.25">
      <c r="A169" t="s">
        <v>230</v>
      </c>
      <c r="B169" t="s">
        <v>126</v>
      </c>
      <c r="C169" s="1">
        <v>45961</v>
      </c>
      <c r="D169" s="1">
        <v>45991</v>
      </c>
      <c r="F169" t="s">
        <v>23</v>
      </c>
      <c r="G169" t="s">
        <v>16</v>
      </c>
      <c r="H169">
        <v>1957.65</v>
      </c>
      <c r="I169">
        <v>0</v>
      </c>
      <c r="J169" t="s">
        <v>17</v>
      </c>
      <c r="K169" t="s">
        <v>18</v>
      </c>
      <c r="L169" t="s">
        <v>19</v>
      </c>
      <c r="M169" t="s">
        <v>42</v>
      </c>
      <c r="N169" s="3">
        <f t="shared" si="12"/>
        <v>1957.65</v>
      </c>
      <c r="O169" s="4" t="str">
        <f t="shared" si="13"/>
        <v/>
      </c>
      <c r="P169" s="4">
        <f t="shared" ca="1" si="14"/>
        <v>106</v>
      </c>
      <c r="Q169" s="2" t="str">
        <f t="shared" ca="1" si="15"/>
        <v>90+</v>
      </c>
      <c r="R169" t="str">
        <f t="shared" si="16"/>
        <v>Oct</v>
      </c>
      <c r="S169" t="str">
        <f t="shared" si="17"/>
        <v>2025-10</v>
      </c>
    </row>
    <row r="170" spans="1:19" x14ac:dyDescent="0.25">
      <c r="A170" t="s">
        <v>231</v>
      </c>
      <c r="B170" t="s">
        <v>41</v>
      </c>
      <c r="C170" s="1">
        <v>45966</v>
      </c>
      <c r="D170" s="1">
        <v>45996</v>
      </c>
      <c r="E170" s="1">
        <v>45974</v>
      </c>
      <c r="F170" t="s">
        <v>15</v>
      </c>
      <c r="G170" t="s">
        <v>24</v>
      </c>
      <c r="H170">
        <v>940.71</v>
      </c>
      <c r="I170">
        <v>940.71</v>
      </c>
      <c r="J170" t="s">
        <v>25</v>
      </c>
      <c r="K170" t="s">
        <v>18</v>
      </c>
      <c r="L170" t="s">
        <v>19</v>
      </c>
      <c r="M170" t="s">
        <v>42</v>
      </c>
      <c r="N170" s="3">
        <f t="shared" si="12"/>
        <v>0</v>
      </c>
      <c r="O170" s="4">
        <f t="shared" si="13"/>
        <v>8</v>
      </c>
      <c r="P170" s="4">
        <f t="shared" ca="1" si="14"/>
        <v>0</v>
      </c>
      <c r="Q170" s="2" t="str">
        <f t="shared" si="15"/>
        <v>Paid</v>
      </c>
      <c r="R170" t="str">
        <f t="shared" si="16"/>
        <v>Nov</v>
      </c>
      <c r="S170" t="str">
        <f t="shared" si="17"/>
        <v>2025-11</v>
      </c>
    </row>
    <row r="171" spans="1:19" x14ac:dyDescent="0.25">
      <c r="A171" t="s">
        <v>232</v>
      </c>
      <c r="B171" t="s">
        <v>14</v>
      </c>
      <c r="C171" s="1">
        <v>45967</v>
      </c>
      <c r="D171" s="1">
        <v>45997</v>
      </c>
      <c r="E171" s="1">
        <v>46012</v>
      </c>
      <c r="F171" t="s">
        <v>30</v>
      </c>
      <c r="G171" t="s">
        <v>69</v>
      </c>
      <c r="H171">
        <v>2366.2800000000002</v>
      </c>
      <c r="I171">
        <v>1686.38</v>
      </c>
      <c r="J171" t="s">
        <v>66</v>
      </c>
      <c r="K171" t="s">
        <v>26</v>
      </c>
      <c r="L171" t="s">
        <v>55</v>
      </c>
      <c r="M171" t="s">
        <v>46</v>
      </c>
      <c r="N171" s="3">
        <f t="shared" si="12"/>
        <v>679.90000000000009</v>
      </c>
      <c r="O171" s="4">
        <f t="shared" si="13"/>
        <v>45</v>
      </c>
      <c r="P171" s="4">
        <f t="shared" ca="1" si="14"/>
        <v>100</v>
      </c>
      <c r="Q171" s="2" t="str">
        <f t="shared" ca="1" si="15"/>
        <v>90+</v>
      </c>
      <c r="R171" t="str">
        <f t="shared" si="16"/>
        <v>Nov</v>
      </c>
      <c r="S171" t="str">
        <f t="shared" si="17"/>
        <v>2025-11</v>
      </c>
    </row>
    <row r="172" spans="1:19" x14ac:dyDescent="0.25">
      <c r="A172" t="s">
        <v>233</v>
      </c>
      <c r="B172" t="s">
        <v>52</v>
      </c>
      <c r="C172" s="1">
        <v>45968</v>
      </c>
      <c r="D172" s="1">
        <v>45998</v>
      </c>
      <c r="E172" s="1">
        <v>46015</v>
      </c>
      <c r="F172" t="s">
        <v>45</v>
      </c>
      <c r="G172" t="s">
        <v>69</v>
      </c>
      <c r="H172">
        <v>1398.55</v>
      </c>
      <c r="I172">
        <v>1398.55</v>
      </c>
      <c r="J172" t="s">
        <v>25</v>
      </c>
      <c r="K172" t="s">
        <v>18</v>
      </c>
      <c r="L172" t="s">
        <v>19</v>
      </c>
      <c r="M172" t="s">
        <v>46</v>
      </c>
      <c r="N172" s="3">
        <f t="shared" si="12"/>
        <v>0</v>
      </c>
      <c r="O172" s="4">
        <f t="shared" si="13"/>
        <v>47</v>
      </c>
      <c r="P172" s="4">
        <f t="shared" ca="1" si="14"/>
        <v>0</v>
      </c>
      <c r="Q172" s="2" t="str">
        <f t="shared" si="15"/>
        <v>Paid</v>
      </c>
      <c r="R172" t="str">
        <f t="shared" si="16"/>
        <v>Nov</v>
      </c>
      <c r="S172" t="str">
        <f t="shared" si="17"/>
        <v>2025-11</v>
      </c>
    </row>
    <row r="173" spans="1:19" x14ac:dyDescent="0.25">
      <c r="A173" t="s">
        <v>234</v>
      </c>
      <c r="B173" t="s">
        <v>14</v>
      </c>
      <c r="C173" s="1">
        <v>45969</v>
      </c>
      <c r="D173" s="1">
        <v>45999</v>
      </c>
      <c r="E173" s="1">
        <v>45982</v>
      </c>
      <c r="F173" t="s">
        <v>59</v>
      </c>
      <c r="G173" t="s">
        <v>37</v>
      </c>
      <c r="H173">
        <v>3328.13</v>
      </c>
      <c r="I173">
        <v>2126.58</v>
      </c>
      <c r="J173" t="s">
        <v>66</v>
      </c>
      <c r="K173" t="s">
        <v>26</v>
      </c>
      <c r="L173" t="s">
        <v>38</v>
      </c>
      <c r="M173" t="s">
        <v>20</v>
      </c>
      <c r="N173" s="3">
        <f t="shared" si="12"/>
        <v>1201.5500000000002</v>
      </c>
      <c r="O173" s="4">
        <f t="shared" si="13"/>
        <v>13</v>
      </c>
      <c r="P173" s="4">
        <f t="shared" ca="1" si="14"/>
        <v>98</v>
      </c>
      <c r="Q173" s="2" t="str">
        <f t="shared" ca="1" si="15"/>
        <v>90+</v>
      </c>
      <c r="R173" t="str">
        <f t="shared" si="16"/>
        <v>Nov</v>
      </c>
      <c r="S173" t="str">
        <f t="shared" si="17"/>
        <v>2025-11</v>
      </c>
    </row>
    <row r="174" spans="1:19" x14ac:dyDescent="0.25">
      <c r="A174" t="s">
        <v>235</v>
      </c>
      <c r="B174" t="s">
        <v>64</v>
      </c>
      <c r="C174" s="1">
        <v>45970</v>
      </c>
      <c r="D174" s="1">
        <v>46000</v>
      </c>
      <c r="E174" s="1">
        <v>46006</v>
      </c>
      <c r="F174" t="s">
        <v>23</v>
      </c>
      <c r="G174" t="s">
        <v>53</v>
      </c>
      <c r="H174">
        <v>7750.55</v>
      </c>
      <c r="I174">
        <v>7750.55</v>
      </c>
      <c r="J174" t="s">
        <v>25</v>
      </c>
      <c r="K174" t="s">
        <v>18</v>
      </c>
      <c r="L174" t="s">
        <v>19</v>
      </c>
      <c r="M174" t="s">
        <v>39</v>
      </c>
      <c r="N174" s="3">
        <f t="shared" si="12"/>
        <v>0</v>
      </c>
      <c r="O174" s="4">
        <f t="shared" si="13"/>
        <v>36</v>
      </c>
      <c r="P174" s="4">
        <f t="shared" ca="1" si="14"/>
        <v>0</v>
      </c>
      <c r="Q174" s="2" t="str">
        <f t="shared" si="15"/>
        <v>Paid</v>
      </c>
      <c r="R174" t="str">
        <f t="shared" si="16"/>
        <v>Nov</v>
      </c>
      <c r="S174" t="str">
        <f t="shared" si="17"/>
        <v>2025-11</v>
      </c>
    </row>
    <row r="175" spans="1:19" x14ac:dyDescent="0.25">
      <c r="A175" t="s">
        <v>236</v>
      </c>
      <c r="B175" t="s">
        <v>44</v>
      </c>
      <c r="C175" s="1">
        <v>45970</v>
      </c>
      <c r="D175" s="1">
        <v>46000</v>
      </c>
      <c r="E175" s="1">
        <v>46005</v>
      </c>
      <c r="F175" t="s">
        <v>23</v>
      </c>
      <c r="G175" t="s">
        <v>16</v>
      </c>
      <c r="H175">
        <v>1776.95</v>
      </c>
      <c r="I175">
        <v>879.51</v>
      </c>
      <c r="J175" t="s">
        <v>66</v>
      </c>
      <c r="K175" t="s">
        <v>26</v>
      </c>
      <c r="L175" t="s">
        <v>38</v>
      </c>
      <c r="M175" t="s">
        <v>28</v>
      </c>
      <c r="N175" s="3">
        <f t="shared" si="12"/>
        <v>897.44</v>
      </c>
      <c r="O175" s="4">
        <f t="shared" si="13"/>
        <v>35</v>
      </c>
      <c r="P175" s="4">
        <f t="shared" ca="1" si="14"/>
        <v>97</v>
      </c>
      <c r="Q175" s="2" t="str">
        <f t="shared" ca="1" si="15"/>
        <v>90+</v>
      </c>
      <c r="R175" t="str">
        <f t="shared" si="16"/>
        <v>Nov</v>
      </c>
      <c r="S175" t="str">
        <f t="shared" si="17"/>
        <v>2025-11</v>
      </c>
    </row>
    <row r="176" spans="1:19" x14ac:dyDescent="0.25">
      <c r="A176" t="s">
        <v>237</v>
      </c>
      <c r="B176" t="s">
        <v>58</v>
      </c>
      <c r="C176" s="1">
        <v>45972</v>
      </c>
      <c r="D176" s="1">
        <v>46002</v>
      </c>
      <c r="E176" s="1">
        <v>46046</v>
      </c>
      <c r="F176" t="s">
        <v>15</v>
      </c>
      <c r="G176" t="s">
        <v>31</v>
      </c>
      <c r="H176">
        <v>971.04</v>
      </c>
      <c r="I176">
        <v>367.77</v>
      </c>
      <c r="J176" t="s">
        <v>66</v>
      </c>
      <c r="K176" t="s">
        <v>18</v>
      </c>
      <c r="L176" t="s">
        <v>19</v>
      </c>
      <c r="M176" t="s">
        <v>39</v>
      </c>
      <c r="N176" s="3">
        <f t="shared" si="12"/>
        <v>603.27</v>
      </c>
      <c r="O176" s="4">
        <f t="shared" si="13"/>
        <v>74</v>
      </c>
      <c r="P176" s="4">
        <f t="shared" ca="1" si="14"/>
        <v>95</v>
      </c>
      <c r="Q176" s="2" t="str">
        <f t="shared" ca="1" si="15"/>
        <v>90+</v>
      </c>
      <c r="R176" t="str">
        <f t="shared" si="16"/>
        <v>Nov</v>
      </c>
      <c r="S176" t="str">
        <f t="shared" si="17"/>
        <v>2025-11</v>
      </c>
    </row>
    <row r="177" spans="1:19" x14ac:dyDescent="0.25">
      <c r="A177" t="s">
        <v>238</v>
      </c>
      <c r="B177" t="s">
        <v>71</v>
      </c>
      <c r="C177" s="1">
        <v>45975</v>
      </c>
      <c r="D177" s="1">
        <v>46005</v>
      </c>
      <c r="F177" t="s">
        <v>59</v>
      </c>
      <c r="G177" t="s">
        <v>69</v>
      </c>
      <c r="H177">
        <v>2593.63</v>
      </c>
      <c r="I177">
        <v>0</v>
      </c>
      <c r="J177" t="s">
        <v>17</v>
      </c>
      <c r="K177" t="s">
        <v>26</v>
      </c>
      <c r="L177" t="s">
        <v>38</v>
      </c>
      <c r="M177" t="s">
        <v>32</v>
      </c>
      <c r="N177" s="3">
        <f t="shared" si="12"/>
        <v>2593.63</v>
      </c>
      <c r="O177" s="4" t="str">
        <f t="shared" si="13"/>
        <v/>
      </c>
      <c r="P177" s="4">
        <f t="shared" ca="1" si="14"/>
        <v>92</v>
      </c>
      <c r="Q177" s="2" t="str">
        <f t="shared" ca="1" si="15"/>
        <v>90+</v>
      </c>
      <c r="R177" t="str">
        <f t="shared" si="16"/>
        <v>Nov</v>
      </c>
      <c r="S177" t="str">
        <f t="shared" si="17"/>
        <v>2025-11</v>
      </c>
    </row>
    <row r="178" spans="1:19" x14ac:dyDescent="0.25">
      <c r="A178" t="s">
        <v>239</v>
      </c>
      <c r="B178" t="s">
        <v>71</v>
      </c>
      <c r="C178" s="1">
        <v>45976</v>
      </c>
      <c r="D178" s="1">
        <v>46006</v>
      </c>
      <c r="E178" s="1">
        <v>46024</v>
      </c>
      <c r="F178" t="s">
        <v>30</v>
      </c>
      <c r="G178" t="s">
        <v>69</v>
      </c>
      <c r="H178">
        <v>2949.23</v>
      </c>
      <c r="I178">
        <v>2949.23</v>
      </c>
      <c r="J178" t="s">
        <v>25</v>
      </c>
      <c r="K178" t="s">
        <v>18</v>
      </c>
      <c r="L178" t="s">
        <v>19</v>
      </c>
      <c r="M178" t="s">
        <v>20</v>
      </c>
      <c r="N178" s="3">
        <f t="shared" si="12"/>
        <v>0</v>
      </c>
      <c r="O178" s="4">
        <f t="shared" si="13"/>
        <v>48</v>
      </c>
      <c r="P178" s="4">
        <f t="shared" ca="1" si="14"/>
        <v>0</v>
      </c>
      <c r="Q178" s="2" t="str">
        <f t="shared" si="15"/>
        <v>Paid</v>
      </c>
      <c r="R178" t="str">
        <f t="shared" si="16"/>
        <v>Nov</v>
      </c>
      <c r="S178" t="str">
        <f t="shared" si="17"/>
        <v>2025-11</v>
      </c>
    </row>
    <row r="179" spans="1:19" x14ac:dyDescent="0.25">
      <c r="A179" t="s">
        <v>240</v>
      </c>
      <c r="B179" t="s">
        <v>78</v>
      </c>
      <c r="C179" s="1">
        <v>45976</v>
      </c>
      <c r="D179" s="1">
        <v>46006</v>
      </c>
      <c r="F179" t="s">
        <v>30</v>
      </c>
      <c r="G179" t="s">
        <v>69</v>
      </c>
      <c r="H179">
        <v>2650.76</v>
      </c>
      <c r="I179">
        <v>1712.3</v>
      </c>
      <c r="J179" t="s">
        <v>66</v>
      </c>
      <c r="K179" t="s">
        <v>18</v>
      </c>
      <c r="L179" t="s">
        <v>19</v>
      </c>
      <c r="M179" t="s">
        <v>42</v>
      </c>
      <c r="N179" s="3">
        <f t="shared" si="12"/>
        <v>938.46000000000026</v>
      </c>
      <c r="O179" s="4" t="str">
        <f t="shared" si="13"/>
        <v/>
      </c>
      <c r="P179" s="4">
        <f t="shared" ca="1" si="14"/>
        <v>91</v>
      </c>
      <c r="Q179" s="2" t="str">
        <f t="shared" ca="1" si="15"/>
        <v>90+</v>
      </c>
      <c r="R179" t="str">
        <f t="shared" si="16"/>
        <v>Nov</v>
      </c>
      <c r="S179" t="str">
        <f t="shared" si="17"/>
        <v>2025-11</v>
      </c>
    </row>
    <row r="180" spans="1:19" x14ac:dyDescent="0.25">
      <c r="A180" t="s">
        <v>241</v>
      </c>
      <c r="B180" t="s">
        <v>111</v>
      </c>
      <c r="C180" s="1">
        <v>45977</v>
      </c>
      <c r="D180" s="1">
        <v>46007</v>
      </c>
      <c r="F180" t="s">
        <v>30</v>
      </c>
      <c r="G180" t="s">
        <v>69</v>
      </c>
      <c r="H180">
        <v>1357.48</v>
      </c>
      <c r="I180">
        <v>0</v>
      </c>
      <c r="J180" t="s">
        <v>17</v>
      </c>
      <c r="K180" t="s">
        <v>26</v>
      </c>
      <c r="L180" t="s">
        <v>55</v>
      </c>
      <c r="M180" t="s">
        <v>42</v>
      </c>
      <c r="N180" s="3">
        <f t="shared" si="12"/>
        <v>1357.48</v>
      </c>
      <c r="O180" s="4" t="str">
        <f t="shared" si="13"/>
        <v/>
      </c>
      <c r="P180" s="4">
        <f t="shared" ca="1" si="14"/>
        <v>90</v>
      </c>
      <c r="Q180" s="2" t="str">
        <f t="shared" ca="1" si="15"/>
        <v>61-90</v>
      </c>
      <c r="R180" t="str">
        <f t="shared" si="16"/>
        <v>Nov</v>
      </c>
      <c r="S180" t="str">
        <f t="shared" si="17"/>
        <v>2025-11</v>
      </c>
    </row>
    <row r="181" spans="1:19" x14ac:dyDescent="0.25">
      <c r="A181" t="s">
        <v>242</v>
      </c>
      <c r="B181" t="s">
        <v>111</v>
      </c>
      <c r="C181" s="1">
        <v>45980</v>
      </c>
      <c r="D181" s="1">
        <v>46010</v>
      </c>
      <c r="E181" s="1">
        <v>46008</v>
      </c>
      <c r="F181" t="s">
        <v>30</v>
      </c>
      <c r="G181" t="s">
        <v>69</v>
      </c>
      <c r="H181">
        <v>2474.69</v>
      </c>
      <c r="I181">
        <v>2474.69</v>
      </c>
      <c r="J181" t="s">
        <v>25</v>
      </c>
      <c r="K181" t="s">
        <v>18</v>
      </c>
      <c r="L181" t="s">
        <v>19</v>
      </c>
      <c r="M181" t="s">
        <v>20</v>
      </c>
      <c r="N181" s="3">
        <f t="shared" si="12"/>
        <v>0</v>
      </c>
      <c r="O181" s="4">
        <f t="shared" si="13"/>
        <v>28</v>
      </c>
      <c r="P181" s="4">
        <f t="shared" ca="1" si="14"/>
        <v>0</v>
      </c>
      <c r="Q181" s="2" t="str">
        <f t="shared" si="15"/>
        <v>Paid</v>
      </c>
      <c r="R181" t="str">
        <f t="shared" si="16"/>
        <v>Nov</v>
      </c>
      <c r="S181" t="str">
        <f t="shared" si="17"/>
        <v>2025-11</v>
      </c>
    </row>
    <row r="182" spans="1:19" x14ac:dyDescent="0.25">
      <c r="A182" t="s">
        <v>243</v>
      </c>
      <c r="B182" t="s">
        <v>48</v>
      </c>
      <c r="C182" s="1">
        <v>45982</v>
      </c>
      <c r="D182" s="1">
        <v>46012</v>
      </c>
      <c r="E182" s="1">
        <v>46010</v>
      </c>
      <c r="F182" t="s">
        <v>45</v>
      </c>
      <c r="G182" t="s">
        <v>53</v>
      </c>
      <c r="H182">
        <v>7230.55</v>
      </c>
      <c r="I182">
        <v>7230.55</v>
      </c>
      <c r="J182" t="s">
        <v>25</v>
      </c>
      <c r="K182" t="s">
        <v>18</v>
      </c>
      <c r="L182" t="s">
        <v>19</v>
      </c>
      <c r="M182" t="s">
        <v>39</v>
      </c>
      <c r="N182" s="3">
        <f t="shared" si="12"/>
        <v>0</v>
      </c>
      <c r="O182" s="4">
        <f t="shared" si="13"/>
        <v>28</v>
      </c>
      <c r="P182" s="4">
        <f t="shared" ca="1" si="14"/>
        <v>0</v>
      </c>
      <c r="Q182" s="2" t="str">
        <f t="shared" si="15"/>
        <v>Paid</v>
      </c>
      <c r="R182" t="str">
        <f t="shared" si="16"/>
        <v>Nov</v>
      </c>
      <c r="S182" t="str">
        <f t="shared" si="17"/>
        <v>2025-11</v>
      </c>
    </row>
    <row r="183" spans="1:19" x14ac:dyDescent="0.25">
      <c r="A183" t="s">
        <v>244</v>
      </c>
      <c r="B183" t="s">
        <v>78</v>
      </c>
      <c r="C183" s="1">
        <v>45983</v>
      </c>
      <c r="D183" s="1">
        <v>46013</v>
      </c>
      <c r="E183" s="1">
        <v>46023</v>
      </c>
      <c r="F183" t="s">
        <v>45</v>
      </c>
      <c r="G183" t="s">
        <v>69</v>
      </c>
      <c r="H183">
        <v>1036.74</v>
      </c>
      <c r="I183">
        <v>1036.74</v>
      </c>
      <c r="J183" t="s">
        <v>25</v>
      </c>
      <c r="K183" t="s">
        <v>18</v>
      </c>
      <c r="L183" t="s">
        <v>19</v>
      </c>
      <c r="M183" t="s">
        <v>28</v>
      </c>
      <c r="N183" s="3">
        <f t="shared" si="12"/>
        <v>0</v>
      </c>
      <c r="O183" s="4">
        <f t="shared" si="13"/>
        <v>40</v>
      </c>
      <c r="P183" s="4">
        <f t="shared" ca="1" si="14"/>
        <v>0</v>
      </c>
      <c r="Q183" s="2" t="str">
        <f t="shared" si="15"/>
        <v>Paid</v>
      </c>
      <c r="R183" t="str">
        <f t="shared" si="16"/>
        <v>Nov</v>
      </c>
      <c r="S183" t="str">
        <f t="shared" si="17"/>
        <v>2025-11</v>
      </c>
    </row>
    <row r="184" spans="1:19" x14ac:dyDescent="0.25">
      <c r="A184" t="s">
        <v>245</v>
      </c>
      <c r="B184" t="s">
        <v>52</v>
      </c>
      <c r="C184" s="1">
        <v>45986</v>
      </c>
      <c r="D184" s="1">
        <v>46016</v>
      </c>
      <c r="F184" t="s">
        <v>45</v>
      </c>
      <c r="G184" t="s">
        <v>69</v>
      </c>
      <c r="H184">
        <v>846.88</v>
      </c>
      <c r="I184">
        <v>0</v>
      </c>
      <c r="J184" t="s">
        <v>17</v>
      </c>
      <c r="K184" t="s">
        <v>18</v>
      </c>
      <c r="L184" t="s">
        <v>19</v>
      </c>
      <c r="M184" t="s">
        <v>28</v>
      </c>
      <c r="N184" s="3">
        <f t="shared" si="12"/>
        <v>846.88</v>
      </c>
      <c r="O184" s="4" t="str">
        <f t="shared" si="13"/>
        <v/>
      </c>
      <c r="P184" s="4">
        <f t="shared" ca="1" si="14"/>
        <v>81</v>
      </c>
      <c r="Q184" s="2" t="str">
        <f t="shared" ca="1" si="15"/>
        <v>61-90</v>
      </c>
      <c r="R184" t="str">
        <f t="shared" si="16"/>
        <v>Nov</v>
      </c>
      <c r="S184" t="str">
        <f t="shared" si="17"/>
        <v>2025-11</v>
      </c>
    </row>
    <row r="185" spans="1:19" x14ac:dyDescent="0.25">
      <c r="A185" t="s">
        <v>246</v>
      </c>
      <c r="B185" t="s">
        <v>111</v>
      </c>
      <c r="C185" s="1">
        <v>45986</v>
      </c>
      <c r="D185" s="1">
        <v>46016</v>
      </c>
      <c r="E185" s="1">
        <v>46003</v>
      </c>
      <c r="F185" t="s">
        <v>23</v>
      </c>
      <c r="G185" t="s">
        <v>24</v>
      </c>
      <c r="H185">
        <v>3224.1</v>
      </c>
      <c r="I185">
        <v>1680.41</v>
      </c>
      <c r="J185" t="s">
        <v>66</v>
      </c>
      <c r="K185" t="s">
        <v>26</v>
      </c>
      <c r="L185" t="s">
        <v>85</v>
      </c>
      <c r="M185" t="s">
        <v>46</v>
      </c>
      <c r="N185" s="3">
        <f t="shared" si="12"/>
        <v>1543.6899999999998</v>
      </c>
      <c r="O185" s="4">
        <f t="shared" si="13"/>
        <v>17</v>
      </c>
      <c r="P185" s="4">
        <f t="shared" ca="1" si="14"/>
        <v>81</v>
      </c>
      <c r="Q185" s="2" t="str">
        <f t="shared" ca="1" si="15"/>
        <v>61-90</v>
      </c>
      <c r="R185" t="str">
        <f t="shared" si="16"/>
        <v>Nov</v>
      </c>
      <c r="S185" t="str">
        <f t="shared" si="17"/>
        <v>2025-11</v>
      </c>
    </row>
    <row r="186" spans="1:19" x14ac:dyDescent="0.25">
      <c r="A186" t="s">
        <v>247</v>
      </c>
      <c r="B186" t="s">
        <v>22</v>
      </c>
      <c r="C186" s="1">
        <v>45990</v>
      </c>
      <c r="D186" s="1">
        <v>46020</v>
      </c>
      <c r="E186" s="1">
        <v>46034</v>
      </c>
      <c r="F186" t="s">
        <v>59</v>
      </c>
      <c r="G186" t="s">
        <v>16</v>
      </c>
      <c r="H186">
        <v>2288.7399999999998</v>
      </c>
      <c r="I186">
        <v>2288.7399999999998</v>
      </c>
      <c r="J186" t="s">
        <v>25</v>
      </c>
      <c r="K186" t="s">
        <v>18</v>
      </c>
      <c r="L186" t="s">
        <v>19</v>
      </c>
      <c r="M186" t="s">
        <v>20</v>
      </c>
      <c r="N186" s="3">
        <f t="shared" si="12"/>
        <v>0</v>
      </c>
      <c r="O186" s="4">
        <f t="shared" si="13"/>
        <v>44</v>
      </c>
      <c r="P186" s="4">
        <f t="shared" ca="1" si="14"/>
        <v>0</v>
      </c>
      <c r="Q186" s="2" t="str">
        <f t="shared" si="15"/>
        <v>Paid</v>
      </c>
      <c r="R186" t="str">
        <f t="shared" si="16"/>
        <v>Nov</v>
      </c>
      <c r="S186" t="str">
        <f t="shared" si="17"/>
        <v>2025-11</v>
      </c>
    </row>
    <row r="187" spans="1:19" x14ac:dyDescent="0.25">
      <c r="A187" t="s">
        <v>248</v>
      </c>
      <c r="B187" t="s">
        <v>71</v>
      </c>
      <c r="C187" s="1">
        <v>45992</v>
      </c>
      <c r="D187" s="1">
        <v>46022</v>
      </c>
      <c r="E187" s="1">
        <v>46023</v>
      </c>
      <c r="F187" t="s">
        <v>59</v>
      </c>
      <c r="G187" t="s">
        <v>37</v>
      </c>
      <c r="H187">
        <v>2233.16</v>
      </c>
      <c r="I187">
        <v>2233.16</v>
      </c>
      <c r="J187" t="s">
        <v>25</v>
      </c>
      <c r="K187" t="s">
        <v>26</v>
      </c>
      <c r="L187" t="s">
        <v>113</v>
      </c>
      <c r="M187" t="s">
        <v>42</v>
      </c>
      <c r="N187" s="3">
        <f t="shared" si="12"/>
        <v>0</v>
      </c>
      <c r="O187" s="4">
        <f t="shared" si="13"/>
        <v>31</v>
      </c>
      <c r="P187" s="4">
        <f t="shared" ca="1" si="14"/>
        <v>0</v>
      </c>
      <c r="Q187" s="2" t="str">
        <f t="shared" si="15"/>
        <v>Paid</v>
      </c>
      <c r="R187" t="str">
        <f t="shared" si="16"/>
        <v>Dec</v>
      </c>
      <c r="S187" t="str">
        <f t="shared" si="17"/>
        <v>2025-12</v>
      </c>
    </row>
    <row r="188" spans="1:19" x14ac:dyDescent="0.25">
      <c r="A188" t="s">
        <v>249</v>
      </c>
      <c r="B188" t="s">
        <v>14</v>
      </c>
      <c r="C188" s="1">
        <v>45992</v>
      </c>
      <c r="D188" s="1">
        <v>46022</v>
      </c>
      <c r="E188" s="1">
        <v>46042</v>
      </c>
      <c r="F188" t="s">
        <v>59</v>
      </c>
      <c r="G188" t="s">
        <v>16</v>
      </c>
      <c r="H188">
        <v>453.94</v>
      </c>
      <c r="I188">
        <v>294.17</v>
      </c>
      <c r="J188" t="s">
        <v>66</v>
      </c>
      <c r="K188" t="s">
        <v>26</v>
      </c>
      <c r="L188" t="s">
        <v>55</v>
      </c>
      <c r="M188" t="s">
        <v>20</v>
      </c>
      <c r="N188" s="3">
        <f t="shared" si="12"/>
        <v>159.76999999999998</v>
      </c>
      <c r="O188" s="4">
        <f t="shared" si="13"/>
        <v>50</v>
      </c>
      <c r="P188" s="4">
        <f t="shared" ca="1" si="14"/>
        <v>75</v>
      </c>
      <c r="Q188" s="2" t="str">
        <f t="shared" ca="1" si="15"/>
        <v>61-90</v>
      </c>
      <c r="R188" t="str">
        <f t="shared" si="16"/>
        <v>Dec</v>
      </c>
      <c r="S188" t="str">
        <f t="shared" si="17"/>
        <v>2025-12</v>
      </c>
    </row>
    <row r="189" spans="1:19" x14ac:dyDescent="0.25">
      <c r="A189" t="s">
        <v>250</v>
      </c>
      <c r="B189" t="s">
        <v>111</v>
      </c>
      <c r="C189" s="1">
        <v>45992</v>
      </c>
      <c r="D189" s="1">
        <v>46022</v>
      </c>
      <c r="E189" s="1">
        <v>46024</v>
      </c>
      <c r="F189" t="s">
        <v>15</v>
      </c>
      <c r="G189" t="s">
        <v>37</v>
      </c>
      <c r="H189">
        <v>5008.1899999999996</v>
      </c>
      <c r="I189">
        <v>5008.1899999999996</v>
      </c>
      <c r="J189" t="s">
        <v>25</v>
      </c>
      <c r="K189" t="s">
        <v>18</v>
      </c>
      <c r="L189" t="s">
        <v>19</v>
      </c>
      <c r="M189" t="s">
        <v>32</v>
      </c>
      <c r="N189" s="3">
        <f t="shared" si="12"/>
        <v>0</v>
      </c>
      <c r="O189" s="4">
        <f t="shared" si="13"/>
        <v>32</v>
      </c>
      <c r="P189" s="4">
        <f t="shared" ca="1" si="14"/>
        <v>0</v>
      </c>
      <c r="Q189" s="2" t="str">
        <f t="shared" si="15"/>
        <v>Paid</v>
      </c>
      <c r="R189" t="str">
        <f t="shared" si="16"/>
        <v>Dec</v>
      </c>
      <c r="S189" t="str">
        <f t="shared" si="17"/>
        <v>2025-12</v>
      </c>
    </row>
    <row r="190" spans="1:19" x14ac:dyDescent="0.25">
      <c r="A190" t="s">
        <v>251</v>
      </c>
      <c r="B190" t="s">
        <v>76</v>
      </c>
      <c r="C190" s="1">
        <v>45992</v>
      </c>
      <c r="D190" s="1">
        <v>46022</v>
      </c>
      <c r="E190" s="1">
        <v>46020</v>
      </c>
      <c r="F190" t="s">
        <v>45</v>
      </c>
      <c r="G190" t="s">
        <v>16</v>
      </c>
      <c r="H190">
        <v>1514.22</v>
      </c>
      <c r="I190">
        <v>1514.22</v>
      </c>
      <c r="J190" t="s">
        <v>25</v>
      </c>
      <c r="K190" t="s">
        <v>18</v>
      </c>
      <c r="L190" t="s">
        <v>19</v>
      </c>
      <c r="M190" t="s">
        <v>42</v>
      </c>
      <c r="N190" s="3">
        <f t="shared" si="12"/>
        <v>0</v>
      </c>
      <c r="O190" s="4">
        <f t="shared" si="13"/>
        <v>28</v>
      </c>
      <c r="P190" s="4">
        <f t="shared" ca="1" si="14"/>
        <v>0</v>
      </c>
      <c r="Q190" s="2" t="str">
        <f t="shared" si="15"/>
        <v>Paid</v>
      </c>
      <c r="R190" t="str">
        <f t="shared" si="16"/>
        <v>Dec</v>
      </c>
      <c r="S190" t="str">
        <f t="shared" si="17"/>
        <v>2025-12</v>
      </c>
    </row>
    <row r="191" spans="1:19" x14ac:dyDescent="0.25">
      <c r="A191" t="s">
        <v>252</v>
      </c>
      <c r="B191" t="s">
        <v>71</v>
      </c>
      <c r="C191" s="1">
        <v>45994</v>
      </c>
      <c r="D191" s="1">
        <v>46024</v>
      </c>
      <c r="E191" s="1">
        <v>46043</v>
      </c>
      <c r="F191" t="s">
        <v>23</v>
      </c>
      <c r="G191" t="s">
        <v>69</v>
      </c>
      <c r="H191">
        <v>498.38</v>
      </c>
      <c r="I191">
        <v>498.38</v>
      </c>
      <c r="J191" t="s">
        <v>25</v>
      </c>
      <c r="K191" t="s">
        <v>18</v>
      </c>
      <c r="L191" t="s">
        <v>19</v>
      </c>
      <c r="M191" t="s">
        <v>20</v>
      </c>
      <c r="N191" s="3">
        <f t="shared" si="12"/>
        <v>0</v>
      </c>
      <c r="O191" s="4">
        <f t="shared" si="13"/>
        <v>49</v>
      </c>
      <c r="P191" s="4">
        <f t="shared" ca="1" si="14"/>
        <v>0</v>
      </c>
      <c r="Q191" s="2" t="str">
        <f t="shared" si="15"/>
        <v>Paid</v>
      </c>
      <c r="R191" t="str">
        <f t="shared" si="16"/>
        <v>Dec</v>
      </c>
      <c r="S191" t="str">
        <f t="shared" si="17"/>
        <v>2025-12</v>
      </c>
    </row>
    <row r="192" spans="1:19" x14ac:dyDescent="0.25">
      <c r="A192" t="s">
        <v>253</v>
      </c>
      <c r="B192" t="s">
        <v>64</v>
      </c>
      <c r="C192" s="1">
        <v>45996</v>
      </c>
      <c r="D192" s="1">
        <v>46026</v>
      </c>
      <c r="E192" s="1">
        <v>46006</v>
      </c>
      <c r="F192" t="s">
        <v>23</v>
      </c>
      <c r="G192" t="s">
        <v>16</v>
      </c>
      <c r="H192">
        <v>1515.56</v>
      </c>
      <c r="I192">
        <v>1515.56</v>
      </c>
      <c r="J192" t="s">
        <v>25</v>
      </c>
      <c r="K192" t="s">
        <v>26</v>
      </c>
      <c r="L192" t="s">
        <v>27</v>
      </c>
      <c r="M192" t="s">
        <v>39</v>
      </c>
      <c r="N192" s="3">
        <f t="shared" si="12"/>
        <v>0</v>
      </c>
      <c r="O192" s="4">
        <f t="shared" si="13"/>
        <v>10</v>
      </c>
      <c r="P192" s="4">
        <f t="shared" ca="1" si="14"/>
        <v>0</v>
      </c>
      <c r="Q192" s="2" t="str">
        <f t="shared" si="15"/>
        <v>Paid</v>
      </c>
      <c r="R192" t="str">
        <f t="shared" si="16"/>
        <v>Dec</v>
      </c>
      <c r="S192" t="str">
        <f t="shared" si="17"/>
        <v>2025-12</v>
      </c>
    </row>
    <row r="193" spans="1:19" x14ac:dyDescent="0.25">
      <c r="A193" t="s">
        <v>254</v>
      </c>
      <c r="B193" t="s">
        <v>41</v>
      </c>
      <c r="C193" s="1">
        <v>45997</v>
      </c>
      <c r="D193" s="1">
        <v>46027</v>
      </c>
      <c r="E193" s="1">
        <v>46011</v>
      </c>
      <c r="F193" t="s">
        <v>30</v>
      </c>
      <c r="G193" t="s">
        <v>31</v>
      </c>
      <c r="H193">
        <v>2622.23</v>
      </c>
      <c r="I193">
        <v>2622.23</v>
      </c>
      <c r="J193" t="s">
        <v>25</v>
      </c>
      <c r="K193" t="s">
        <v>18</v>
      </c>
      <c r="L193" t="s">
        <v>19</v>
      </c>
      <c r="M193" t="s">
        <v>39</v>
      </c>
      <c r="N193" s="3">
        <f t="shared" si="12"/>
        <v>0</v>
      </c>
      <c r="O193" s="4">
        <f t="shared" si="13"/>
        <v>14</v>
      </c>
      <c r="P193" s="4">
        <f t="shared" ca="1" si="14"/>
        <v>0</v>
      </c>
      <c r="Q193" s="2" t="str">
        <f t="shared" si="15"/>
        <v>Paid</v>
      </c>
      <c r="R193" t="str">
        <f t="shared" si="16"/>
        <v>Dec</v>
      </c>
      <c r="S193" t="str">
        <f t="shared" si="17"/>
        <v>2025-12</v>
      </c>
    </row>
    <row r="194" spans="1:19" x14ac:dyDescent="0.25">
      <c r="A194" t="s">
        <v>255</v>
      </c>
      <c r="B194" t="s">
        <v>64</v>
      </c>
      <c r="C194" s="1">
        <v>45997</v>
      </c>
      <c r="D194" s="1">
        <v>46027</v>
      </c>
      <c r="E194" s="1">
        <v>46008</v>
      </c>
      <c r="F194" t="s">
        <v>15</v>
      </c>
      <c r="G194" t="s">
        <v>37</v>
      </c>
      <c r="H194">
        <v>2067.2600000000002</v>
      </c>
      <c r="I194">
        <v>2067.2600000000002</v>
      </c>
      <c r="J194" t="s">
        <v>25</v>
      </c>
      <c r="K194" t="s">
        <v>18</v>
      </c>
      <c r="L194" t="s">
        <v>19</v>
      </c>
      <c r="M194" t="s">
        <v>20</v>
      </c>
      <c r="N194" s="3">
        <f t="shared" si="12"/>
        <v>0</v>
      </c>
      <c r="O194" s="4">
        <f t="shared" si="13"/>
        <v>11</v>
      </c>
      <c r="P194" s="4">
        <f t="shared" ca="1" si="14"/>
        <v>0</v>
      </c>
      <c r="Q194" s="2" t="str">
        <f t="shared" si="15"/>
        <v>Paid</v>
      </c>
      <c r="R194" t="str">
        <f t="shared" si="16"/>
        <v>Dec</v>
      </c>
      <c r="S194" t="str">
        <f t="shared" si="17"/>
        <v>2025-12</v>
      </c>
    </row>
    <row r="195" spans="1:19" x14ac:dyDescent="0.25">
      <c r="A195" t="s">
        <v>256</v>
      </c>
      <c r="B195" t="s">
        <v>71</v>
      </c>
      <c r="C195" s="1">
        <v>45999</v>
      </c>
      <c r="D195" s="1">
        <v>46029</v>
      </c>
      <c r="E195" s="1">
        <v>46011</v>
      </c>
      <c r="F195" t="s">
        <v>30</v>
      </c>
      <c r="G195" t="s">
        <v>24</v>
      </c>
      <c r="H195">
        <v>5392.89</v>
      </c>
      <c r="I195">
        <v>5392.89</v>
      </c>
      <c r="J195" t="s">
        <v>25</v>
      </c>
      <c r="K195" t="s">
        <v>18</v>
      </c>
      <c r="L195" t="s">
        <v>19</v>
      </c>
      <c r="M195" t="s">
        <v>39</v>
      </c>
      <c r="N195" s="3">
        <f t="shared" ref="N195:N258" si="18">H195-I195</f>
        <v>0</v>
      </c>
      <c r="O195" s="4">
        <f t="shared" ref="O195:O258" si="19">IF(E195="","",E195-C195)</f>
        <v>12</v>
      </c>
      <c r="P195" s="4">
        <f t="shared" ref="P195:P258" ca="1" si="20">IF(N195&lt;=0,0,TODAY()-D195)</f>
        <v>0</v>
      </c>
      <c r="Q195" s="2" t="str">
        <f t="shared" ref="Q195:Q258" si="21">IF(N195&lt;=0,"Paid",IF(P195&lt;=0,"Current",IF(P195&lt;=30,"1-30",IF(P195&lt;=60,"31-60",IF(P195&lt;=90,"61-90","90+")))))</f>
        <v>Paid</v>
      </c>
      <c r="R195" t="str">
        <f t="shared" ref="R195:R258" si="22">TEXT(C195,"mmm")</f>
        <v>Dec</v>
      </c>
      <c r="S195" t="str">
        <f t="shared" ref="S195:S258" si="23">TEXT(C195,"yyyy-mm")</f>
        <v>2025-12</v>
      </c>
    </row>
    <row r="196" spans="1:19" x14ac:dyDescent="0.25">
      <c r="A196" t="s">
        <v>257</v>
      </c>
      <c r="B196" t="s">
        <v>76</v>
      </c>
      <c r="C196" s="1">
        <v>45999</v>
      </c>
      <c r="D196" s="1">
        <v>46029</v>
      </c>
      <c r="E196" s="1">
        <v>46037</v>
      </c>
      <c r="F196" t="s">
        <v>59</v>
      </c>
      <c r="G196" t="s">
        <v>37</v>
      </c>
      <c r="H196">
        <v>1712.84</v>
      </c>
      <c r="I196">
        <v>1712.84</v>
      </c>
      <c r="J196" t="s">
        <v>25</v>
      </c>
      <c r="K196" t="s">
        <v>18</v>
      </c>
      <c r="L196" t="s">
        <v>19</v>
      </c>
      <c r="M196" t="s">
        <v>46</v>
      </c>
      <c r="N196" s="3">
        <f t="shared" si="18"/>
        <v>0</v>
      </c>
      <c r="O196" s="4">
        <f t="shared" si="19"/>
        <v>38</v>
      </c>
      <c r="P196" s="4">
        <f t="shared" ca="1" si="20"/>
        <v>0</v>
      </c>
      <c r="Q196" s="2" t="str">
        <f t="shared" si="21"/>
        <v>Paid</v>
      </c>
      <c r="R196" t="str">
        <f t="shared" si="22"/>
        <v>Dec</v>
      </c>
      <c r="S196" t="str">
        <f t="shared" si="23"/>
        <v>2025-12</v>
      </c>
    </row>
    <row r="197" spans="1:19" x14ac:dyDescent="0.25">
      <c r="A197" t="s">
        <v>258</v>
      </c>
      <c r="B197" t="s">
        <v>64</v>
      </c>
      <c r="C197" s="1">
        <v>46006</v>
      </c>
      <c r="D197" s="1">
        <v>46036</v>
      </c>
      <c r="E197" s="1">
        <v>46035</v>
      </c>
      <c r="F197" t="s">
        <v>59</v>
      </c>
      <c r="G197" t="s">
        <v>69</v>
      </c>
      <c r="H197">
        <v>1042.19</v>
      </c>
      <c r="I197">
        <v>1042.19</v>
      </c>
      <c r="J197" t="s">
        <v>25</v>
      </c>
      <c r="K197" t="s">
        <v>18</v>
      </c>
      <c r="L197" t="s">
        <v>19</v>
      </c>
      <c r="M197" t="s">
        <v>39</v>
      </c>
      <c r="N197" s="3">
        <f t="shared" si="18"/>
        <v>0</v>
      </c>
      <c r="O197" s="4">
        <f t="shared" si="19"/>
        <v>29</v>
      </c>
      <c r="P197" s="4">
        <f t="shared" ca="1" si="20"/>
        <v>0</v>
      </c>
      <c r="Q197" s="2" t="str">
        <f t="shared" si="21"/>
        <v>Paid</v>
      </c>
      <c r="R197" t="str">
        <f t="shared" si="22"/>
        <v>Dec</v>
      </c>
      <c r="S197" t="str">
        <f t="shared" si="23"/>
        <v>2025-12</v>
      </c>
    </row>
    <row r="198" spans="1:19" x14ac:dyDescent="0.25">
      <c r="A198" t="s">
        <v>259</v>
      </c>
      <c r="B198" t="s">
        <v>78</v>
      </c>
      <c r="C198" s="1">
        <v>46007</v>
      </c>
      <c r="D198" s="1">
        <v>46037</v>
      </c>
      <c r="E198" s="1">
        <v>46081</v>
      </c>
      <c r="F198" t="s">
        <v>15</v>
      </c>
      <c r="G198" t="s">
        <v>69</v>
      </c>
      <c r="H198">
        <v>882.3</v>
      </c>
      <c r="I198">
        <v>364.62</v>
      </c>
      <c r="J198" t="s">
        <v>66</v>
      </c>
      <c r="K198" t="s">
        <v>26</v>
      </c>
      <c r="L198" t="s">
        <v>85</v>
      </c>
      <c r="M198" t="s">
        <v>46</v>
      </c>
      <c r="N198" s="3">
        <f t="shared" si="18"/>
        <v>517.67999999999995</v>
      </c>
      <c r="O198" s="4">
        <f t="shared" si="19"/>
        <v>74</v>
      </c>
      <c r="P198" s="4">
        <f t="shared" ca="1" si="20"/>
        <v>60</v>
      </c>
      <c r="Q198" s="2" t="str">
        <f t="shared" ca="1" si="21"/>
        <v>31-60</v>
      </c>
      <c r="R198" t="str">
        <f t="shared" si="22"/>
        <v>Dec</v>
      </c>
      <c r="S198" t="str">
        <f t="shared" si="23"/>
        <v>2025-12</v>
      </c>
    </row>
    <row r="199" spans="1:19" x14ac:dyDescent="0.25">
      <c r="A199" t="s">
        <v>260</v>
      </c>
      <c r="B199" t="s">
        <v>126</v>
      </c>
      <c r="C199" s="1">
        <v>46007</v>
      </c>
      <c r="D199" s="1">
        <v>46037</v>
      </c>
      <c r="F199" t="s">
        <v>23</v>
      </c>
      <c r="G199" t="s">
        <v>37</v>
      </c>
      <c r="H199">
        <v>6496.68</v>
      </c>
      <c r="I199">
        <v>0</v>
      </c>
      <c r="J199" t="s">
        <v>17</v>
      </c>
      <c r="K199" t="s">
        <v>26</v>
      </c>
      <c r="L199" t="s">
        <v>34</v>
      </c>
      <c r="M199" t="s">
        <v>32</v>
      </c>
      <c r="N199" s="3">
        <f t="shared" si="18"/>
        <v>6496.68</v>
      </c>
      <c r="O199" s="4" t="str">
        <f t="shared" si="19"/>
        <v/>
      </c>
      <c r="P199" s="4">
        <f t="shared" ca="1" si="20"/>
        <v>60</v>
      </c>
      <c r="Q199" s="2" t="str">
        <f t="shared" ca="1" si="21"/>
        <v>31-60</v>
      </c>
      <c r="R199" t="str">
        <f t="shared" si="22"/>
        <v>Dec</v>
      </c>
      <c r="S199" t="str">
        <f t="shared" si="23"/>
        <v>2025-12</v>
      </c>
    </row>
    <row r="200" spans="1:19" x14ac:dyDescent="0.25">
      <c r="A200" t="s">
        <v>261</v>
      </c>
      <c r="B200" t="s">
        <v>52</v>
      </c>
      <c r="C200" s="1">
        <v>46008</v>
      </c>
      <c r="D200" s="1">
        <v>46038</v>
      </c>
      <c r="E200" s="1">
        <v>46052</v>
      </c>
      <c r="F200" t="s">
        <v>59</v>
      </c>
      <c r="G200" t="s">
        <v>37</v>
      </c>
      <c r="H200">
        <v>1509.98</v>
      </c>
      <c r="I200">
        <v>1509.98</v>
      </c>
      <c r="J200" t="s">
        <v>25</v>
      </c>
      <c r="K200" t="s">
        <v>18</v>
      </c>
      <c r="L200" t="s">
        <v>19</v>
      </c>
      <c r="M200" t="s">
        <v>39</v>
      </c>
      <c r="N200" s="3">
        <f t="shared" si="18"/>
        <v>0</v>
      </c>
      <c r="O200" s="4">
        <f t="shared" si="19"/>
        <v>44</v>
      </c>
      <c r="P200" s="4">
        <f t="shared" ca="1" si="20"/>
        <v>0</v>
      </c>
      <c r="Q200" s="2" t="str">
        <f t="shared" si="21"/>
        <v>Paid</v>
      </c>
      <c r="R200" t="str">
        <f t="shared" si="22"/>
        <v>Dec</v>
      </c>
      <c r="S200" t="str">
        <f t="shared" si="23"/>
        <v>2025-12</v>
      </c>
    </row>
    <row r="201" spans="1:19" x14ac:dyDescent="0.25">
      <c r="A201" t="s">
        <v>262</v>
      </c>
      <c r="B201" t="s">
        <v>126</v>
      </c>
      <c r="C201" s="1">
        <v>46009</v>
      </c>
      <c r="D201" s="1">
        <v>46039</v>
      </c>
      <c r="E201" s="1">
        <v>46059</v>
      </c>
      <c r="F201" t="s">
        <v>30</v>
      </c>
      <c r="G201" t="s">
        <v>37</v>
      </c>
      <c r="H201">
        <v>8943</v>
      </c>
      <c r="I201">
        <v>8943</v>
      </c>
      <c r="J201" t="s">
        <v>25</v>
      </c>
      <c r="K201" t="s">
        <v>18</v>
      </c>
      <c r="L201" t="s">
        <v>19</v>
      </c>
      <c r="M201" t="s">
        <v>42</v>
      </c>
      <c r="N201" s="3">
        <f t="shared" si="18"/>
        <v>0</v>
      </c>
      <c r="O201" s="4">
        <f t="shared" si="19"/>
        <v>50</v>
      </c>
      <c r="P201" s="4">
        <f t="shared" ca="1" si="20"/>
        <v>0</v>
      </c>
      <c r="Q201" s="2" t="str">
        <f t="shared" si="21"/>
        <v>Paid</v>
      </c>
      <c r="R201" t="str">
        <f t="shared" si="22"/>
        <v>Dec</v>
      </c>
      <c r="S201" t="str">
        <f t="shared" si="23"/>
        <v>2025-12</v>
      </c>
    </row>
    <row r="202" spans="1:19" x14ac:dyDescent="0.25">
      <c r="A202" t="s">
        <v>263</v>
      </c>
      <c r="B202" t="s">
        <v>76</v>
      </c>
      <c r="C202" s="1">
        <v>46009</v>
      </c>
      <c r="D202" s="1">
        <v>46039</v>
      </c>
      <c r="E202" s="1">
        <v>46038</v>
      </c>
      <c r="F202" t="s">
        <v>59</v>
      </c>
      <c r="G202" t="s">
        <v>16</v>
      </c>
      <c r="H202">
        <v>1346.38</v>
      </c>
      <c r="I202">
        <v>1346.38</v>
      </c>
      <c r="J202" t="s">
        <v>25</v>
      </c>
      <c r="K202" t="s">
        <v>26</v>
      </c>
      <c r="L202" t="s">
        <v>38</v>
      </c>
      <c r="M202" t="s">
        <v>39</v>
      </c>
      <c r="N202" s="3">
        <f t="shared" si="18"/>
        <v>0</v>
      </c>
      <c r="O202" s="4">
        <f t="shared" si="19"/>
        <v>29</v>
      </c>
      <c r="P202" s="4">
        <f t="shared" ca="1" si="20"/>
        <v>0</v>
      </c>
      <c r="Q202" s="2" t="str">
        <f t="shared" si="21"/>
        <v>Paid</v>
      </c>
      <c r="R202" t="str">
        <f t="shared" si="22"/>
        <v>Dec</v>
      </c>
      <c r="S202" t="str">
        <f t="shared" si="23"/>
        <v>2025-12</v>
      </c>
    </row>
    <row r="203" spans="1:19" x14ac:dyDescent="0.25">
      <c r="A203" t="s">
        <v>264</v>
      </c>
      <c r="B203" t="s">
        <v>68</v>
      </c>
      <c r="C203" s="1">
        <v>46010</v>
      </c>
      <c r="D203" s="1">
        <v>46040</v>
      </c>
      <c r="E203" s="1">
        <v>46025</v>
      </c>
      <c r="F203" t="s">
        <v>30</v>
      </c>
      <c r="G203" t="s">
        <v>31</v>
      </c>
      <c r="H203">
        <v>2261.88</v>
      </c>
      <c r="I203">
        <v>2261.88</v>
      </c>
      <c r="J203" t="s">
        <v>25</v>
      </c>
      <c r="K203" t="s">
        <v>26</v>
      </c>
      <c r="L203" t="s">
        <v>55</v>
      </c>
      <c r="M203" t="s">
        <v>20</v>
      </c>
      <c r="N203" s="3">
        <f t="shared" si="18"/>
        <v>0</v>
      </c>
      <c r="O203" s="4">
        <f t="shared" si="19"/>
        <v>15</v>
      </c>
      <c r="P203" s="4">
        <f t="shared" ca="1" si="20"/>
        <v>0</v>
      </c>
      <c r="Q203" s="2" t="str">
        <f t="shared" si="21"/>
        <v>Paid</v>
      </c>
      <c r="R203" t="str">
        <f t="shared" si="22"/>
        <v>Dec</v>
      </c>
      <c r="S203" t="str">
        <f t="shared" si="23"/>
        <v>2025-12</v>
      </c>
    </row>
    <row r="204" spans="1:19" x14ac:dyDescent="0.25">
      <c r="A204" t="s">
        <v>265</v>
      </c>
      <c r="B204" t="s">
        <v>50</v>
      </c>
      <c r="C204" s="1">
        <v>46011</v>
      </c>
      <c r="D204" s="1">
        <v>46041</v>
      </c>
      <c r="E204" s="1">
        <v>46034</v>
      </c>
      <c r="F204" t="s">
        <v>45</v>
      </c>
      <c r="G204" t="s">
        <v>31</v>
      </c>
      <c r="H204">
        <v>1293.32</v>
      </c>
      <c r="I204">
        <v>1293.32</v>
      </c>
      <c r="J204" t="s">
        <v>25</v>
      </c>
      <c r="K204" t="s">
        <v>18</v>
      </c>
      <c r="L204" t="s">
        <v>19</v>
      </c>
      <c r="M204" t="s">
        <v>28</v>
      </c>
      <c r="N204" s="3">
        <f t="shared" si="18"/>
        <v>0</v>
      </c>
      <c r="O204" s="4">
        <f t="shared" si="19"/>
        <v>23</v>
      </c>
      <c r="P204" s="4">
        <f t="shared" ca="1" si="20"/>
        <v>0</v>
      </c>
      <c r="Q204" s="2" t="str">
        <f t="shared" si="21"/>
        <v>Paid</v>
      </c>
      <c r="R204" t="str">
        <f t="shared" si="22"/>
        <v>Dec</v>
      </c>
      <c r="S204" t="str">
        <f t="shared" si="23"/>
        <v>2025-12</v>
      </c>
    </row>
    <row r="205" spans="1:19" x14ac:dyDescent="0.25">
      <c r="A205" t="s">
        <v>266</v>
      </c>
      <c r="B205" t="s">
        <v>14</v>
      </c>
      <c r="C205" s="1">
        <v>46011</v>
      </c>
      <c r="D205" s="1">
        <v>46041</v>
      </c>
      <c r="E205" s="1">
        <v>46055</v>
      </c>
      <c r="F205" t="s">
        <v>59</v>
      </c>
      <c r="G205" t="s">
        <v>24</v>
      </c>
      <c r="H205">
        <v>2243.7399999999998</v>
      </c>
      <c r="I205">
        <v>2243.7399999999998</v>
      </c>
      <c r="J205" t="s">
        <v>25</v>
      </c>
      <c r="K205" t="s">
        <v>18</v>
      </c>
      <c r="L205" t="s">
        <v>19</v>
      </c>
      <c r="M205" t="s">
        <v>32</v>
      </c>
      <c r="N205" s="3">
        <f t="shared" si="18"/>
        <v>0</v>
      </c>
      <c r="O205" s="4">
        <f t="shared" si="19"/>
        <v>44</v>
      </c>
      <c r="P205" s="4">
        <f t="shared" ca="1" si="20"/>
        <v>0</v>
      </c>
      <c r="Q205" s="2" t="str">
        <f t="shared" si="21"/>
        <v>Paid</v>
      </c>
      <c r="R205" t="str">
        <f t="shared" si="22"/>
        <v>Dec</v>
      </c>
      <c r="S205" t="str">
        <f t="shared" si="23"/>
        <v>2025-12</v>
      </c>
    </row>
    <row r="206" spans="1:19" x14ac:dyDescent="0.25">
      <c r="A206" t="s">
        <v>267</v>
      </c>
      <c r="B206" t="s">
        <v>22</v>
      </c>
      <c r="C206" s="1">
        <v>46011</v>
      </c>
      <c r="D206" s="1">
        <v>46041</v>
      </c>
      <c r="E206" s="1">
        <v>46075</v>
      </c>
      <c r="F206" t="s">
        <v>30</v>
      </c>
      <c r="G206" t="s">
        <v>37</v>
      </c>
      <c r="H206">
        <v>7225.8</v>
      </c>
      <c r="I206">
        <v>6079.91</v>
      </c>
      <c r="J206" t="s">
        <v>66</v>
      </c>
      <c r="K206" t="s">
        <v>26</v>
      </c>
      <c r="L206" t="s">
        <v>34</v>
      </c>
      <c r="M206" t="s">
        <v>39</v>
      </c>
      <c r="N206" s="3">
        <f t="shared" si="18"/>
        <v>1145.8900000000003</v>
      </c>
      <c r="O206" s="4">
        <f t="shared" si="19"/>
        <v>64</v>
      </c>
      <c r="P206" s="4">
        <f t="shared" ca="1" si="20"/>
        <v>56</v>
      </c>
      <c r="Q206" s="2" t="str">
        <f t="shared" ca="1" si="21"/>
        <v>31-60</v>
      </c>
      <c r="R206" t="str">
        <f t="shared" si="22"/>
        <v>Dec</v>
      </c>
      <c r="S206" t="str">
        <f t="shared" si="23"/>
        <v>2025-12</v>
      </c>
    </row>
    <row r="207" spans="1:19" x14ac:dyDescent="0.25">
      <c r="A207" t="s">
        <v>268</v>
      </c>
      <c r="B207" t="s">
        <v>78</v>
      </c>
      <c r="C207" s="1">
        <v>46012</v>
      </c>
      <c r="D207" s="1">
        <v>46042</v>
      </c>
      <c r="E207" s="1">
        <v>46039</v>
      </c>
      <c r="F207" t="s">
        <v>30</v>
      </c>
      <c r="G207" t="s">
        <v>53</v>
      </c>
      <c r="H207">
        <v>4387.51</v>
      </c>
      <c r="I207">
        <v>4387.51</v>
      </c>
      <c r="J207" t="s">
        <v>25</v>
      </c>
      <c r="K207" t="s">
        <v>18</v>
      </c>
      <c r="L207" t="s">
        <v>19</v>
      </c>
      <c r="M207" t="s">
        <v>32</v>
      </c>
      <c r="N207" s="3">
        <f t="shared" si="18"/>
        <v>0</v>
      </c>
      <c r="O207" s="4">
        <f t="shared" si="19"/>
        <v>27</v>
      </c>
      <c r="P207" s="4">
        <f t="shared" ca="1" si="20"/>
        <v>0</v>
      </c>
      <c r="Q207" s="2" t="str">
        <f t="shared" si="21"/>
        <v>Paid</v>
      </c>
      <c r="R207" t="str">
        <f t="shared" si="22"/>
        <v>Dec</v>
      </c>
      <c r="S207" t="str">
        <f t="shared" si="23"/>
        <v>2025-12</v>
      </c>
    </row>
    <row r="208" spans="1:19" x14ac:dyDescent="0.25">
      <c r="A208" t="s">
        <v>269</v>
      </c>
      <c r="B208" t="s">
        <v>111</v>
      </c>
      <c r="C208" s="1">
        <v>46013</v>
      </c>
      <c r="D208" s="1">
        <v>46043</v>
      </c>
      <c r="E208" s="1">
        <v>46051</v>
      </c>
      <c r="F208" t="s">
        <v>15</v>
      </c>
      <c r="G208" t="s">
        <v>24</v>
      </c>
      <c r="H208">
        <v>3164.44</v>
      </c>
      <c r="I208">
        <v>3164.44</v>
      </c>
      <c r="J208" t="s">
        <v>25</v>
      </c>
      <c r="K208" t="s">
        <v>18</v>
      </c>
      <c r="L208" t="s">
        <v>19</v>
      </c>
      <c r="M208" t="s">
        <v>42</v>
      </c>
      <c r="N208" s="3">
        <f t="shared" si="18"/>
        <v>0</v>
      </c>
      <c r="O208" s="4">
        <f t="shared" si="19"/>
        <v>38</v>
      </c>
      <c r="P208" s="4">
        <f t="shared" ca="1" si="20"/>
        <v>0</v>
      </c>
      <c r="Q208" s="2" t="str">
        <f t="shared" si="21"/>
        <v>Paid</v>
      </c>
      <c r="R208" t="str">
        <f t="shared" si="22"/>
        <v>Dec</v>
      </c>
      <c r="S208" t="str">
        <f t="shared" si="23"/>
        <v>2025-12</v>
      </c>
    </row>
    <row r="209" spans="1:19" x14ac:dyDescent="0.25">
      <c r="A209" t="s">
        <v>270</v>
      </c>
      <c r="B209" t="s">
        <v>48</v>
      </c>
      <c r="C209" s="1">
        <v>46015</v>
      </c>
      <c r="D209" s="1">
        <v>46045</v>
      </c>
      <c r="E209" s="1">
        <v>46052</v>
      </c>
      <c r="F209" t="s">
        <v>59</v>
      </c>
      <c r="G209" t="s">
        <v>53</v>
      </c>
      <c r="H209">
        <v>5392.91</v>
      </c>
      <c r="I209">
        <v>5392.91</v>
      </c>
      <c r="J209" t="s">
        <v>25</v>
      </c>
      <c r="K209" t="s">
        <v>18</v>
      </c>
      <c r="L209" t="s">
        <v>19</v>
      </c>
      <c r="M209" t="s">
        <v>20</v>
      </c>
      <c r="N209" s="3">
        <f t="shared" si="18"/>
        <v>0</v>
      </c>
      <c r="O209" s="4">
        <f t="shared" si="19"/>
        <v>37</v>
      </c>
      <c r="P209" s="4">
        <f t="shared" ca="1" si="20"/>
        <v>0</v>
      </c>
      <c r="Q209" s="2" t="str">
        <f t="shared" si="21"/>
        <v>Paid</v>
      </c>
      <c r="R209" t="str">
        <f t="shared" si="22"/>
        <v>Dec</v>
      </c>
      <c r="S209" t="str">
        <f t="shared" si="23"/>
        <v>2025-12</v>
      </c>
    </row>
    <row r="210" spans="1:19" x14ac:dyDescent="0.25">
      <c r="A210" t="s">
        <v>271</v>
      </c>
      <c r="B210" t="s">
        <v>71</v>
      </c>
      <c r="C210" s="1">
        <v>46019</v>
      </c>
      <c r="D210" s="1">
        <v>46049</v>
      </c>
      <c r="E210" s="1">
        <v>46062</v>
      </c>
      <c r="F210" t="s">
        <v>45</v>
      </c>
      <c r="G210" t="s">
        <v>69</v>
      </c>
      <c r="H210">
        <v>690.46</v>
      </c>
      <c r="I210">
        <v>690.46</v>
      </c>
      <c r="J210" t="s">
        <v>25</v>
      </c>
      <c r="K210" t="s">
        <v>18</v>
      </c>
      <c r="L210" t="s">
        <v>19</v>
      </c>
      <c r="M210" t="s">
        <v>46</v>
      </c>
      <c r="N210" s="3">
        <f t="shared" si="18"/>
        <v>0</v>
      </c>
      <c r="O210" s="4">
        <f t="shared" si="19"/>
        <v>43</v>
      </c>
      <c r="P210" s="4">
        <f t="shared" ca="1" si="20"/>
        <v>0</v>
      </c>
      <c r="Q210" s="2" t="str">
        <f t="shared" si="21"/>
        <v>Paid</v>
      </c>
      <c r="R210" t="str">
        <f t="shared" si="22"/>
        <v>Dec</v>
      </c>
      <c r="S210" t="str">
        <f t="shared" si="23"/>
        <v>2025-12</v>
      </c>
    </row>
    <row r="211" spans="1:19" x14ac:dyDescent="0.25">
      <c r="A211" t="s">
        <v>272</v>
      </c>
      <c r="B211" t="s">
        <v>58</v>
      </c>
      <c r="C211" s="1">
        <v>46020</v>
      </c>
      <c r="D211" s="1">
        <v>46050</v>
      </c>
      <c r="E211" s="1">
        <v>46035</v>
      </c>
      <c r="F211" t="s">
        <v>15</v>
      </c>
      <c r="G211" t="s">
        <v>53</v>
      </c>
      <c r="H211">
        <v>5542.88</v>
      </c>
      <c r="I211">
        <v>4187.75</v>
      </c>
      <c r="J211" t="s">
        <v>66</v>
      </c>
      <c r="K211" t="s">
        <v>18</v>
      </c>
      <c r="L211" t="s">
        <v>19</v>
      </c>
      <c r="M211" t="s">
        <v>32</v>
      </c>
      <c r="N211" s="3">
        <f t="shared" si="18"/>
        <v>1355.13</v>
      </c>
      <c r="O211" s="4">
        <f t="shared" si="19"/>
        <v>15</v>
      </c>
      <c r="P211" s="4">
        <f t="shared" ca="1" si="20"/>
        <v>47</v>
      </c>
      <c r="Q211" s="2" t="str">
        <f t="shared" ca="1" si="21"/>
        <v>31-60</v>
      </c>
      <c r="R211" t="str">
        <f t="shared" si="22"/>
        <v>Dec</v>
      </c>
      <c r="S211" t="str">
        <f t="shared" si="23"/>
        <v>2025-12</v>
      </c>
    </row>
    <row r="212" spans="1:19" x14ac:dyDescent="0.25">
      <c r="A212" t="s">
        <v>273</v>
      </c>
      <c r="B212" t="s">
        <v>64</v>
      </c>
      <c r="C212" s="1">
        <v>46021</v>
      </c>
      <c r="D212" s="1">
        <v>46051</v>
      </c>
      <c r="E212" s="1">
        <v>46044</v>
      </c>
      <c r="F212" t="s">
        <v>23</v>
      </c>
      <c r="G212" t="s">
        <v>16</v>
      </c>
      <c r="H212">
        <v>1128.69</v>
      </c>
      <c r="I212">
        <v>735.98</v>
      </c>
      <c r="J212" t="s">
        <v>66</v>
      </c>
      <c r="K212" t="s">
        <v>18</v>
      </c>
      <c r="L212" t="s">
        <v>19</v>
      </c>
      <c r="M212" t="s">
        <v>39</v>
      </c>
      <c r="N212" s="3">
        <f t="shared" si="18"/>
        <v>392.71000000000004</v>
      </c>
      <c r="O212" s="4">
        <f t="shared" si="19"/>
        <v>23</v>
      </c>
      <c r="P212" s="4">
        <f t="shared" ca="1" si="20"/>
        <v>46</v>
      </c>
      <c r="Q212" s="2" t="str">
        <f t="shared" ca="1" si="21"/>
        <v>31-60</v>
      </c>
      <c r="R212" t="str">
        <f t="shared" si="22"/>
        <v>Dec</v>
      </c>
      <c r="S212" t="str">
        <f t="shared" si="23"/>
        <v>2025-12</v>
      </c>
    </row>
    <row r="213" spans="1:19" x14ac:dyDescent="0.25">
      <c r="A213" t="s">
        <v>274</v>
      </c>
      <c r="B213" t="s">
        <v>64</v>
      </c>
      <c r="C213" s="1">
        <v>46022</v>
      </c>
      <c r="D213" s="1">
        <v>46052</v>
      </c>
      <c r="E213" s="1">
        <v>46037</v>
      </c>
      <c r="F213" t="s">
        <v>23</v>
      </c>
      <c r="G213" t="s">
        <v>16</v>
      </c>
      <c r="H213">
        <v>2472.56</v>
      </c>
      <c r="I213">
        <v>2472.56</v>
      </c>
      <c r="J213" t="s">
        <v>25</v>
      </c>
      <c r="K213" t="s">
        <v>18</v>
      </c>
      <c r="L213" t="s">
        <v>19</v>
      </c>
      <c r="M213" t="s">
        <v>32</v>
      </c>
      <c r="N213" s="3">
        <f t="shared" si="18"/>
        <v>0</v>
      </c>
      <c r="O213" s="4">
        <f t="shared" si="19"/>
        <v>15</v>
      </c>
      <c r="P213" s="4">
        <f t="shared" ca="1" si="20"/>
        <v>0</v>
      </c>
      <c r="Q213" s="2" t="str">
        <f t="shared" si="21"/>
        <v>Paid</v>
      </c>
      <c r="R213" t="str">
        <f t="shared" si="22"/>
        <v>Dec</v>
      </c>
      <c r="S213" t="str">
        <f t="shared" si="23"/>
        <v>2025-12</v>
      </c>
    </row>
    <row r="214" spans="1:19" x14ac:dyDescent="0.25">
      <c r="A214" t="s">
        <v>275</v>
      </c>
      <c r="B214" t="s">
        <v>68</v>
      </c>
      <c r="C214" s="1">
        <v>46022</v>
      </c>
      <c r="D214" s="1">
        <v>46052</v>
      </c>
      <c r="E214" s="1">
        <v>46055</v>
      </c>
      <c r="F214" t="s">
        <v>45</v>
      </c>
      <c r="G214" t="s">
        <v>16</v>
      </c>
      <c r="H214">
        <v>2022.39</v>
      </c>
      <c r="I214">
        <v>1380.97</v>
      </c>
      <c r="J214" t="s">
        <v>66</v>
      </c>
      <c r="K214" t="s">
        <v>18</v>
      </c>
      <c r="L214" t="s">
        <v>19</v>
      </c>
      <c r="M214" t="s">
        <v>28</v>
      </c>
      <c r="N214" s="3">
        <f t="shared" si="18"/>
        <v>641.42000000000007</v>
      </c>
      <c r="O214" s="4">
        <f t="shared" si="19"/>
        <v>33</v>
      </c>
      <c r="P214" s="4">
        <f t="shared" ca="1" si="20"/>
        <v>45</v>
      </c>
      <c r="Q214" s="2" t="str">
        <f t="shared" ca="1" si="21"/>
        <v>31-60</v>
      </c>
      <c r="R214" t="str">
        <f t="shared" si="22"/>
        <v>Dec</v>
      </c>
      <c r="S214" t="str">
        <f t="shared" si="23"/>
        <v>2025-12</v>
      </c>
    </row>
    <row r="215" spans="1:19" x14ac:dyDescent="0.25">
      <c r="A215" t="s">
        <v>276</v>
      </c>
      <c r="B215" t="s">
        <v>96</v>
      </c>
      <c r="C215" s="1">
        <v>46025</v>
      </c>
      <c r="D215" s="1">
        <v>46055</v>
      </c>
      <c r="E215" s="1">
        <v>46046</v>
      </c>
      <c r="F215" t="s">
        <v>23</v>
      </c>
      <c r="G215" t="s">
        <v>69</v>
      </c>
      <c r="H215">
        <v>2894.42</v>
      </c>
      <c r="I215">
        <v>2894.42</v>
      </c>
      <c r="J215" t="s">
        <v>25</v>
      </c>
      <c r="K215" t="s">
        <v>18</v>
      </c>
      <c r="L215" t="s">
        <v>19</v>
      </c>
      <c r="M215" t="s">
        <v>32</v>
      </c>
      <c r="N215" s="3">
        <f t="shared" si="18"/>
        <v>0</v>
      </c>
      <c r="O215" s="4">
        <f t="shared" si="19"/>
        <v>21</v>
      </c>
      <c r="P215" s="4">
        <f t="shared" ca="1" si="20"/>
        <v>0</v>
      </c>
      <c r="Q215" s="2" t="str">
        <f t="shared" si="21"/>
        <v>Paid</v>
      </c>
      <c r="R215" t="str">
        <f t="shared" si="22"/>
        <v>Jan</v>
      </c>
      <c r="S215" t="str">
        <f t="shared" si="23"/>
        <v>2026-01</v>
      </c>
    </row>
    <row r="216" spans="1:19" x14ac:dyDescent="0.25">
      <c r="A216" t="s">
        <v>277</v>
      </c>
      <c r="B216" t="s">
        <v>78</v>
      </c>
      <c r="C216" s="1">
        <v>46026</v>
      </c>
      <c r="D216" s="1">
        <v>46056</v>
      </c>
      <c r="E216" s="1">
        <v>46072</v>
      </c>
      <c r="F216" t="s">
        <v>30</v>
      </c>
      <c r="G216" t="s">
        <v>69</v>
      </c>
      <c r="H216">
        <v>1109.67</v>
      </c>
      <c r="I216">
        <v>668.33</v>
      </c>
      <c r="J216" t="s">
        <v>66</v>
      </c>
      <c r="K216" t="s">
        <v>18</v>
      </c>
      <c r="L216" t="s">
        <v>19</v>
      </c>
      <c r="M216" t="s">
        <v>46</v>
      </c>
      <c r="N216" s="3">
        <f t="shared" si="18"/>
        <v>441.34000000000003</v>
      </c>
      <c r="O216" s="4">
        <f t="shared" si="19"/>
        <v>46</v>
      </c>
      <c r="P216" s="4">
        <f t="shared" ca="1" si="20"/>
        <v>41</v>
      </c>
      <c r="Q216" s="2" t="str">
        <f t="shared" ca="1" si="21"/>
        <v>31-60</v>
      </c>
      <c r="R216" t="str">
        <f t="shared" si="22"/>
        <v>Jan</v>
      </c>
      <c r="S216" t="str">
        <f t="shared" si="23"/>
        <v>2026-01</v>
      </c>
    </row>
    <row r="217" spans="1:19" x14ac:dyDescent="0.25">
      <c r="A217" t="s">
        <v>278</v>
      </c>
      <c r="B217" t="s">
        <v>111</v>
      </c>
      <c r="C217" s="1">
        <v>46027</v>
      </c>
      <c r="D217" s="1">
        <v>46057</v>
      </c>
      <c r="E217" s="1">
        <v>46035</v>
      </c>
      <c r="F217" t="s">
        <v>15</v>
      </c>
      <c r="G217" t="s">
        <v>69</v>
      </c>
      <c r="H217">
        <v>3188.46</v>
      </c>
      <c r="I217">
        <v>3188.46</v>
      </c>
      <c r="J217" t="s">
        <v>25</v>
      </c>
      <c r="K217" t="s">
        <v>26</v>
      </c>
      <c r="L217" t="s">
        <v>55</v>
      </c>
      <c r="M217" t="s">
        <v>20</v>
      </c>
      <c r="N217" s="3">
        <f t="shared" si="18"/>
        <v>0</v>
      </c>
      <c r="O217" s="4">
        <f t="shared" si="19"/>
        <v>8</v>
      </c>
      <c r="P217" s="4">
        <f t="shared" ca="1" si="20"/>
        <v>0</v>
      </c>
      <c r="Q217" s="2" t="str">
        <f t="shared" si="21"/>
        <v>Paid</v>
      </c>
      <c r="R217" t="str">
        <f t="shared" si="22"/>
        <v>Jan</v>
      </c>
      <c r="S217" t="str">
        <f t="shared" si="23"/>
        <v>2026-01</v>
      </c>
    </row>
    <row r="218" spans="1:19" x14ac:dyDescent="0.25">
      <c r="A218" t="s">
        <v>279</v>
      </c>
      <c r="B218" t="s">
        <v>78</v>
      </c>
      <c r="C218" s="1">
        <v>46027</v>
      </c>
      <c r="D218" s="1">
        <v>46057</v>
      </c>
      <c r="F218" t="s">
        <v>59</v>
      </c>
      <c r="G218" t="s">
        <v>16</v>
      </c>
      <c r="H218">
        <v>1002.5</v>
      </c>
      <c r="I218">
        <v>0</v>
      </c>
      <c r="J218" t="s">
        <v>17</v>
      </c>
      <c r="K218" t="s">
        <v>26</v>
      </c>
      <c r="L218" t="s">
        <v>55</v>
      </c>
      <c r="M218" t="s">
        <v>28</v>
      </c>
      <c r="N218" s="3">
        <f t="shared" si="18"/>
        <v>1002.5</v>
      </c>
      <c r="O218" s="4" t="str">
        <f t="shared" si="19"/>
        <v/>
      </c>
      <c r="P218" s="4">
        <f t="shared" ca="1" si="20"/>
        <v>40</v>
      </c>
      <c r="Q218" s="2" t="str">
        <f t="shared" ca="1" si="21"/>
        <v>31-60</v>
      </c>
      <c r="R218" t="str">
        <f t="shared" si="22"/>
        <v>Jan</v>
      </c>
      <c r="S218" t="str">
        <f t="shared" si="23"/>
        <v>2026-01</v>
      </c>
    </row>
    <row r="219" spans="1:19" x14ac:dyDescent="0.25">
      <c r="A219" t="s">
        <v>280</v>
      </c>
      <c r="B219" t="s">
        <v>36</v>
      </c>
      <c r="C219" s="1">
        <v>46029</v>
      </c>
      <c r="D219" s="1">
        <v>46059</v>
      </c>
      <c r="E219" s="1">
        <v>46093</v>
      </c>
      <c r="F219" t="s">
        <v>23</v>
      </c>
      <c r="G219" t="s">
        <v>53</v>
      </c>
      <c r="H219">
        <v>2319.38</v>
      </c>
      <c r="I219">
        <v>1348.01</v>
      </c>
      <c r="J219" t="s">
        <v>66</v>
      </c>
      <c r="K219" t="s">
        <v>26</v>
      </c>
      <c r="L219" t="s">
        <v>34</v>
      </c>
      <c r="M219" t="s">
        <v>28</v>
      </c>
      <c r="N219" s="3">
        <f t="shared" si="18"/>
        <v>971.37000000000012</v>
      </c>
      <c r="O219" s="4">
        <f t="shared" si="19"/>
        <v>64</v>
      </c>
      <c r="P219" s="4">
        <f t="shared" ca="1" si="20"/>
        <v>38</v>
      </c>
      <c r="Q219" s="2" t="str">
        <f t="shared" ca="1" si="21"/>
        <v>31-60</v>
      </c>
      <c r="R219" t="str">
        <f t="shared" si="22"/>
        <v>Jan</v>
      </c>
      <c r="S219" t="str">
        <f t="shared" si="23"/>
        <v>2026-01</v>
      </c>
    </row>
    <row r="220" spans="1:19" x14ac:dyDescent="0.25">
      <c r="A220" t="s">
        <v>281</v>
      </c>
      <c r="B220" t="s">
        <v>118</v>
      </c>
      <c r="C220" s="1">
        <v>46029</v>
      </c>
      <c r="D220" s="1">
        <v>46059</v>
      </c>
      <c r="E220" s="1">
        <v>46056</v>
      </c>
      <c r="F220" t="s">
        <v>45</v>
      </c>
      <c r="G220" t="s">
        <v>53</v>
      </c>
      <c r="H220">
        <v>2808.85</v>
      </c>
      <c r="I220">
        <v>2808.85</v>
      </c>
      <c r="J220" t="s">
        <v>25</v>
      </c>
      <c r="K220" t="s">
        <v>18</v>
      </c>
      <c r="L220" t="s">
        <v>19</v>
      </c>
      <c r="M220" t="s">
        <v>32</v>
      </c>
      <c r="N220" s="3">
        <f t="shared" si="18"/>
        <v>0</v>
      </c>
      <c r="O220" s="4">
        <f t="shared" si="19"/>
        <v>27</v>
      </c>
      <c r="P220" s="4">
        <f t="shared" ca="1" si="20"/>
        <v>0</v>
      </c>
      <c r="Q220" s="2" t="str">
        <f t="shared" si="21"/>
        <v>Paid</v>
      </c>
      <c r="R220" t="str">
        <f t="shared" si="22"/>
        <v>Jan</v>
      </c>
      <c r="S220" t="str">
        <f t="shared" si="23"/>
        <v>2026-01</v>
      </c>
    </row>
    <row r="221" spans="1:19" x14ac:dyDescent="0.25">
      <c r="A221" t="s">
        <v>282</v>
      </c>
      <c r="B221" t="s">
        <v>71</v>
      </c>
      <c r="C221" s="1">
        <v>46031</v>
      </c>
      <c r="D221" s="1">
        <v>46061</v>
      </c>
      <c r="E221" s="1">
        <v>46041</v>
      </c>
      <c r="F221" t="s">
        <v>15</v>
      </c>
      <c r="G221" t="s">
        <v>37</v>
      </c>
      <c r="H221">
        <v>4809.1499999999996</v>
      </c>
      <c r="I221">
        <v>4809.1499999999996</v>
      </c>
      <c r="J221" t="s">
        <v>25</v>
      </c>
      <c r="K221" t="s">
        <v>18</v>
      </c>
      <c r="L221" t="s">
        <v>19</v>
      </c>
      <c r="M221" t="s">
        <v>20</v>
      </c>
      <c r="N221" s="3">
        <f t="shared" si="18"/>
        <v>0</v>
      </c>
      <c r="O221" s="4">
        <f t="shared" si="19"/>
        <v>10</v>
      </c>
      <c r="P221" s="4">
        <f t="shared" ca="1" si="20"/>
        <v>0</v>
      </c>
      <c r="Q221" s="2" t="str">
        <f t="shared" si="21"/>
        <v>Paid</v>
      </c>
      <c r="R221" t="str">
        <f t="shared" si="22"/>
        <v>Jan</v>
      </c>
      <c r="S221" t="str">
        <f t="shared" si="23"/>
        <v>2026-01</v>
      </c>
    </row>
    <row r="222" spans="1:19" x14ac:dyDescent="0.25">
      <c r="A222" t="s">
        <v>283</v>
      </c>
      <c r="B222" t="s">
        <v>48</v>
      </c>
      <c r="C222" s="1">
        <v>46037</v>
      </c>
      <c r="D222" s="1">
        <v>46067</v>
      </c>
      <c r="E222" s="1">
        <v>46089</v>
      </c>
      <c r="F222" t="s">
        <v>45</v>
      </c>
      <c r="G222" t="s">
        <v>69</v>
      </c>
      <c r="H222">
        <v>1227.8699999999999</v>
      </c>
      <c r="I222">
        <v>1227.8699999999999</v>
      </c>
      <c r="J222" t="s">
        <v>25</v>
      </c>
      <c r="K222" t="s">
        <v>18</v>
      </c>
      <c r="L222" t="s">
        <v>19</v>
      </c>
      <c r="M222" t="s">
        <v>32</v>
      </c>
      <c r="N222" s="3">
        <f t="shared" si="18"/>
        <v>0</v>
      </c>
      <c r="O222" s="4">
        <f t="shared" si="19"/>
        <v>52</v>
      </c>
      <c r="P222" s="4">
        <f t="shared" ca="1" si="20"/>
        <v>0</v>
      </c>
      <c r="Q222" s="2" t="str">
        <f t="shared" si="21"/>
        <v>Paid</v>
      </c>
      <c r="R222" t="str">
        <f t="shared" si="22"/>
        <v>Jan</v>
      </c>
      <c r="S222" t="str">
        <f t="shared" si="23"/>
        <v>2026-01</v>
      </c>
    </row>
    <row r="223" spans="1:19" x14ac:dyDescent="0.25">
      <c r="A223" t="s">
        <v>284</v>
      </c>
      <c r="B223" t="s">
        <v>64</v>
      </c>
      <c r="C223" s="1">
        <v>46038</v>
      </c>
      <c r="D223" s="1">
        <v>46068</v>
      </c>
      <c r="E223" s="1">
        <v>46087</v>
      </c>
      <c r="F223" t="s">
        <v>23</v>
      </c>
      <c r="G223" t="s">
        <v>24</v>
      </c>
      <c r="H223">
        <v>908.94</v>
      </c>
      <c r="I223">
        <v>626.64</v>
      </c>
      <c r="J223" t="s">
        <v>66</v>
      </c>
      <c r="K223" t="s">
        <v>26</v>
      </c>
      <c r="L223" t="s">
        <v>55</v>
      </c>
      <c r="M223" t="s">
        <v>28</v>
      </c>
      <c r="N223" s="3">
        <f t="shared" si="18"/>
        <v>282.30000000000007</v>
      </c>
      <c r="O223" s="4">
        <f t="shared" si="19"/>
        <v>49</v>
      </c>
      <c r="P223" s="4">
        <f t="shared" ca="1" si="20"/>
        <v>29</v>
      </c>
      <c r="Q223" s="2" t="str">
        <f t="shared" ca="1" si="21"/>
        <v>1-30</v>
      </c>
      <c r="R223" t="str">
        <f t="shared" si="22"/>
        <v>Jan</v>
      </c>
      <c r="S223" t="str">
        <f t="shared" si="23"/>
        <v>2026-01</v>
      </c>
    </row>
    <row r="224" spans="1:19" x14ac:dyDescent="0.25">
      <c r="A224" t="s">
        <v>285</v>
      </c>
      <c r="B224" t="s">
        <v>48</v>
      </c>
      <c r="C224" s="1">
        <v>46038</v>
      </c>
      <c r="D224" s="1">
        <v>46068</v>
      </c>
      <c r="E224" s="1">
        <v>46089</v>
      </c>
      <c r="F224" t="s">
        <v>15</v>
      </c>
      <c r="G224" t="s">
        <v>16</v>
      </c>
      <c r="H224">
        <v>2404.63</v>
      </c>
      <c r="I224">
        <v>2404.63</v>
      </c>
      <c r="J224" t="s">
        <v>25</v>
      </c>
      <c r="K224" t="s">
        <v>18</v>
      </c>
      <c r="L224" t="s">
        <v>19</v>
      </c>
      <c r="M224" t="s">
        <v>28</v>
      </c>
      <c r="N224" s="3">
        <f t="shared" si="18"/>
        <v>0</v>
      </c>
      <c r="O224" s="4">
        <f t="shared" si="19"/>
        <v>51</v>
      </c>
      <c r="P224" s="4">
        <f t="shared" ca="1" si="20"/>
        <v>0</v>
      </c>
      <c r="Q224" s="2" t="str">
        <f t="shared" si="21"/>
        <v>Paid</v>
      </c>
      <c r="R224" t="str">
        <f t="shared" si="22"/>
        <v>Jan</v>
      </c>
      <c r="S224" t="str">
        <f t="shared" si="23"/>
        <v>2026-01</v>
      </c>
    </row>
    <row r="225" spans="1:19" x14ac:dyDescent="0.25">
      <c r="A225" t="s">
        <v>286</v>
      </c>
      <c r="B225" t="s">
        <v>14</v>
      </c>
      <c r="C225" s="1">
        <v>46039</v>
      </c>
      <c r="D225" s="1">
        <v>46069</v>
      </c>
      <c r="E225" s="1">
        <v>46091</v>
      </c>
      <c r="F225" t="s">
        <v>15</v>
      </c>
      <c r="G225" t="s">
        <v>31</v>
      </c>
      <c r="H225">
        <v>3786.65</v>
      </c>
      <c r="I225">
        <v>3786.65</v>
      </c>
      <c r="J225" t="s">
        <v>25</v>
      </c>
      <c r="K225" t="s">
        <v>18</v>
      </c>
      <c r="L225" t="s">
        <v>19</v>
      </c>
      <c r="M225" t="s">
        <v>32</v>
      </c>
      <c r="N225" s="3">
        <f t="shared" si="18"/>
        <v>0</v>
      </c>
      <c r="O225" s="4">
        <f t="shared" si="19"/>
        <v>52</v>
      </c>
      <c r="P225" s="4">
        <f t="shared" ca="1" si="20"/>
        <v>0</v>
      </c>
      <c r="Q225" s="2" t="str">
        <f t="shared" si="21"/>
        <v>Paid</v>
      </c>
      <c r="R225" t="str">
        <f t="shared" si="22"/>
        <v>Jan</v>
      </c>
      <c r="S225" t="str">
        <f t="shared" si="23"/>
        <v>2026-01</v>
      </c>
    </row>
    <row r="226" spans="1:19" x14ac:dyDescent="0.25">
      <c r="A226" t="s">
        <v>287</v>
      </c>
      <c r="B226" t="s">
        <v>48</v>
      </c>
      <c r="C226" s="1">
        <v>46040</v>
      </c>
      <c r="D226" s="1">
        <v>46070</v>
      </c>
      <c r="F226" t="s">
        <v>59</v>
      </c>
      <c r="G226" t="s">
        <v>53</v>
      </c>
      <c r="H226">
        <v>5955.52</v>
      </c>
      <c r="I226">
        <v>0</v>
      </c>
      <c r="J226" t="s">
        <v>17</v>
      </c>
      <c r="K226" t="s">
        <v>26</v>
      </c>
      <c r="L226" t="s">
        <v>93</v>
      </c>
      <c r="M226" t="s">
        <v>46</v>
      </c>
      <c r="N226" s="3">
        <f t="shared" si="18"/>
        <v>5955.52</v>
      </c>
      <c r="O226" s="4" t="str">
        <f t="shared" si="19"/>
        <v/>
      </c>
      <c r="P226" s="4">
        <f t="shared" ca="1" si="20"/>
        <v>27</v>
      </c>
      <c r="Q226" s="2" t="str">
        <f t="shared" ca="1" si="21"/>
        <v>1-30</v>
      </c>
      <c r="R226" t="str">
        <f t="shared" si="22"/>
        <v>Jan</v>
      </c>
      <c r="S226" t="str">
        <f t="shared" si="23"/>
        <v>2026-01</v>
      </c>
    </row>
    <row r="227" spans="1:19" x14ac:dyDescent="0.25">
      <c r="A227" t="s">
        <v>288</v>
      </c>
      <c r="B227" t="s">
        <v>111</v>
      </c>
      <c r="C227" s="1">
        <v>46042</v>
      </c>
      <c r="D227" s="1">
        <v>46072</v>
      </c>
      <c r="E227" s="1">
        <v>46060</v>
      </c>
      <c r="F227" t="s">
        <v>45</v>
      </c>
      <c r="G227" t="s">
        <v>69</v>
      </c>
      <c r="H227">
        <v>1478.68</v>
      </c>
      <c r="I227">
        <v>1478.68</v>
      </c>
      <c r="J227" t="s">
        <v>25</v>
      </c>
      <c r="K227" t="s">
        <v>18</v>
      </c>
      <c r="L227" t="s">
        <v>19</v>
      </c>
      <c r="M227" t="s">
        <v>20</v>
      </c>
      <c r="N227" s="3">
        <f t="shared" si="18"/>
        <v>0</v>
      </c>
      <c r="O227" s="4">
        <f t="shared" si="19"/>
        <v>18</v>
      </c>
      <c r="P227" s="4">
        <f t="shared" ca="1" si="20"/>
        <v>0</v>
      </c>
      <c r="Q227" s="2" t="str">
        <f t="shared" si="21"/>
        <v>Paid</v>
      </c>
      <c r="R227" t="str">
        <f t="shared" si="22"/>
        <v>Jan</v>
      </c>
      <c r="S227" t="str">
        <f t="shared" si="23"/>
        <v>2026-01</v>
      </c>
    </row>
    <row r="228" spans="1:19" x14ac:dyDescent="0.25">
      <c r="A228" t="s">
        <v>289</v>
      </c>
      <c r="B228" t="s">
        <v>99</v>
      </c>
      <c r="C228" s="1">
        <v>46042</v>
      </c>
      <c r="D228" s="1">
        <v>46072</v>
      </c>
      <c r="E228" s="1">
        <v>46091</v>
      </c>
      <c r="F228" t="s">
        <v>15</v>
      </c>
      <c r="G228" t="s">
        <v>16</v>
      </c>
      <c r="H228">
        <v>1675.05</v>
      </c>
      <c r="I228">
        <v>1675.05</v>
      </c>
      <c r="J228" t="s">
        <v>25</v>
      </c>
      <c r="K228" t="s">
        <v>18</v>
      </c>
      <c r="L228" t="s">
        <v>19</v>
      </c>
      <c r="M228" t="s">
        <v>32</v>
      </c>
      <c r="N228" s="3">
        <f t="shared" si="18"/>
        <v>0</v>
      </c>
      <c r="O228" s="4">
        <f t="shared" si="19"/>
        <v>49</v>
      </c>
      <c r="P228" s="4">
        <f t="shared" ca="1" si="20"/>
        <v>0</v>
      </c>
      <c r="Q228" s="2" t="str">
        <f t="shared" si="21"/>
        <v>Paid</v>
      </c>
      <c r="R228" t="str">
        <f t="shared" si="22"/>
        <v>Jan</v>
      </c>
      <c r="S228" t="str">
        <f t="shared" si="23"/>
        <v>2026-01</v>
      </c>
    </row>
    <row r="229" spans="1:19" x14ac:dyDescent="0.25">
      <c r="A229" t="s">
        <v>290</v>
      </c>
      <c r="B229" t="s">
        <v>81</v>
      </c>
      <c r="C229" s="1">
        <v>46047</v>
      </c>
      <c r="D229" s="1">
        <v>46077</v>
      </c>
      <c r="E229" s="1">
        <v>46096</v>
      </c>
      <c r="F229" t="s">
        <v>59</v>
      </c>
      <c r="G229" t="s">
        <v>53</v>
      </c>
      <c r="H229">
        <v>1854.4</v>
      </c>
      <c r="I229">
        <v>1854.4</v>
      </c>
      <c r="J229" t="s">
        <v>25</v>
      </c>
      <c r="K229" t="s">
        <v>18</v>
      </c>
      <c r="L229" t="s">
        <v>19</v>
      </c>
      <c r="M229" t="s">
        <v>46</v>
      </c>
      <c r="N229" s="3">
        <f t="shared" si="18"/>
        <v>0</v>
      </c>
      <c r="O229" s="4">
        <f t="shared" si="19"/>
        <v>49</v>
      </c>
      <c r="P229" s="4">
        <f t="shared" ca="1" si="20"/>
        <v>0</v>
      </c>
      <c r="Q229" s="2" t="str">
        <f t="shared" si="21"/>
        <v>Paid</v>
      </c>
      <c r="R229" t="str">
        <f t="shared" si="22"/>
        <v>Jan</v>
      </c>
      <c r="S229" t="str">
        <f t="shared" si="23"/>
        <v>2026-01</v>
      </c>
    </row>
    <row r="230" spans="1:19" x14ac:dyDescent="0.25">
      <c r="A230" t="s">
        <v>291</v>
      </c>
      <c r="B230" t="s">
        <v>36</v>
      </c>
      <c r="C230" s="1">
        <v>46048</v>
      </c>
      <c r="D230" s="1">
        <v>46078</v>
      </c>
      <c r="E230" s="1">
        <v>46073</v>
      </c>
      <c r="F230" t="s">
        <v>59</v>
      </c>
      <c r="G230" t="s">
        <v>16</v>
      </c>
      <c r="H230">
        <v>2196.6999999999998</v>
      </c>
      <c r="I230">
        <v>2196.6999999999998</v>
      </c>
      <c r="J230" t="s">
        <v>25</v>
      </c>
      <c r="K230" t="s">
        <v>18</v>
      </c>
      <c r="L230" t="s">
        <v>19</v>
      </c>
      <c r="M230" t="s">
        <v>42</v>
      </c>
      <c r="N230" s="3">
        <f t="shared" si="18"/>
        <v>0</v>
      </c>
      <c r="O230" s="4">
        <f t="shared" si="19"/>
        <v>25</v>
      </c>
      <c r="P230" s="4">
        <f t="shared" ca="1" si="20"/>
        <v>0</v>
      </c>
      <c r="Q230" s="2" t="str">
        <f t="shared" si="21"/>
        <v>Paid</v>
      </c>
      <c r="R230" t="str">
        <f t="shared" si="22"/>
        <v>Jan</v>
      </c>
      <c r="S230" t="str">
        <f t="shared" si="23"/>
        <v>2026-01</v>
      </c>
    </row>
    <row r="231" spans="1:19" x14ac:dyDescent="0.25">
      <c r="A231" t="s">
        <v>292</v>
      </c>
      <c r="B231" t="s">
        <v>99</v>
      </c>
      <c r="C231" s="1">
        <v>46049</v>
      </c>
      <c r="D231" s="1">
        <v>46079</v>
      </c>
      <c r="E231" s="1">
        <v>46067</v>
      </c>
      <c r="F231" t="s">
        <v>15</v>
      </c>
      <c r="G231" t="s">
        <v>31</v>
      </c>
      <c r="H231">
        <v>2296.84</v>
      </c>
      <c r="I231">
        <v>2296.84</v>
      </c>
      <c r="J231" t="s">
        <v>25</v>
      </c>
      <c r="K231" t="s">
        <v>18</v>
      </c>
      <c r="L231" t="s">
        <v>19</v>
      </c>
      <c r="M231" t="s">
        <v>32</v>
      </c>
      <c r="N231" s="3">
        <f t="shared" si="18"/>
        <v>0</v>
      </c>
      <c r="O231" s="4">
        <f t="shared" si="19"/>
        <v>18</v>
      </c>
      <c r="P231" s="4">
        <f t="shared" ca="1" si="20"/>
        <v>0</v>
      </c>
      <c r="Q231" s="2" t="str">
        <f t="shared" si="21"/>
        <v>Paid</v>
      </c>
      <c r="R231" t="str">
        <f t="shared" si="22"/>
        <v>Jan</v>
      </c>
      <c r="S231" t="str">
        <f t="shared" si="23"/>
        <v>2026-01</v>
      </c>
    </row>
    <row r="232" spans="1:19" x14ac:dyDescent="0.25">
      <c r="A232" t="s">
        <v>293</v>
      </c>
      <c r="B232" t="s">
        <v>22</v>
      </c>
      <c r="C232" s="1">
        <v>46049</v>
      </c>
      <c r="D232" s="1">
        <v>46079</v>
      </c>
      <c r="F232" t="s">
        <v>23</v>
      </c>
      <c r="G232" t="s">
        <v>24</v>
      </c>
      <c r="H232">
        <v>4697.4399999999996</v>
      </c>
      <c r="I232">
        <v>0</v>
      </c>
      <c r="J232" t="s">
        <v>17</v>
      </c>
      <c r="K232" t="s">
        <v>26</v>
      </c>
      <c r="L232" t="s">
        <v>34</v>
      </c>
      <c r="M232" t="s">
        <v>46</v>
      </c>
      <c r="N232" s="3">
        <f t="shared" si="18"/>
        <v>4697.4399999999996</v>
      </c>
      <c r="O232" s="4" t="str">
        <f t="shared" si="19"/>
        <v/>
      </c>
      <c r="P232" s="4">
        <f t="shared" ca="1" si="20"/>
        <v>18</v>
      </c>
      <c r="Q232" s="2" t="str">
        <f t="shared" ca="1" si="21"/>
        <v>1-30</v>
      </c>
      <c r="R232" t="str">
        <f t="shared" si="22"/>
        <v>Jan</v>
      </c>
      <c r="S232" t="str">
        <f t="shared" si="23"/>
        <v>2026-01</v>
      </c>
    </row>
    <row r="233" spans="1:19" x14ac:dyDescent="0.25">
      <c r="A233" t="s">
        <v>294</v>
      </c>
      <c r="B233" t="s">
        <v>50</v>
      </c>
      <c r="C233" s="1">
        <v>46049</v>
      </c>
      <c r="D233" s="1">
        <v>46079</v>
      </c>
      <c r="E233" s="1">
        <v>46064</v>
      </c>
      <c r="F233" t="s">
        <v>45</v>
      </c>
      <c r="G233" t="s">
        <v>69</v>
      </c>
      <c r="H233">
        <v>540.58000000000004</v>
      </c>
      <c r="I233">
        <v>540.58000000000004</v>
      </c>
      <c r="J233" t="s">
        <v>25</v>
      </c>
      <c r="K233" t="s">
        <v>18</v>
      </c>
      <c r="L233" t="s">
        <v>19</v>
      </c>
      <c r="M233" t="s">
        <v>32</v>
      </c>
      <c r="N233" s="3">
        <f t="shared" si="18"/>
        <v>0</v>
      </c>
      <c r="O233" s="4">
        <f t="shared" si="19"/>
        <v>15</v>
      </c>
      <c r="P233" s="4">
        <f t="shared" ca="1" si="20"/>
        <v>0</v>
      </c>
      <c r="Q233" s="2" t="str">
        <f t="shared" si="21"/>
        <v>Paid</v>
      </c>
      <c r="R233" t="str">
        <f t="shared" si="22"/>
        <v>Jan</v>
      </c>
      <c r="S233" t="str">
        <f t="shared" si="23"/>
        <v>2026-01</v>
      </c>
    </row>
    <row r="234" spans="1:19" x14ac:dyDescent="0.25">
      <c r="A234" t="s">
        <v>295</v>
      </c>
      <c r="B234" t="s">
        <v>48</v>
      </c>
      <c r="C234" s="1">
        <v>46050</v>
      </c>
      <c r="D234" s="1">
        <v>46080</v>
      </c>
      <c r="E234" s="1">
        <v>46099</v>
      </c>
      <c r="F234" t="s">
        <v>59</v>
      </c>
      <c r="G234" t="s">
        <v>16</v>
      </c>
      <c r="H234">
        <v>927.91</v>
      </c>
      <c r="I234">
        <v>927.91</v>
      </c>
      <c r="J234" t="s">
        <v>25</v>
      </c>
      <c r="K234" t="s">
        <v>18</v>
      </c>
      <c r="L234" t="s">
        <v>19</v>
      </c>
      <c r="M234" t="s">
        <v>42</v>
      </c>
      <c r="N234" s="3">
        <f t="shared" si="18"/>
        <v>0</v>
      </c>
      <c r="O234" s="4">
        <f t="shared" si="19"/>
        <v>49</v>
      </c>
      <c r="P234" s="4">
        <f t="shared" ca="1" si="20"/>
        <v>0</v>
      </c>
      <c r="Q234" s="2" t="str">
        <f t="shared" si="21"/>
        <v>Paid</v>
      </c>
      <c r="R234" t="str">
        <f t="shared" si="22"/>
        <v>Jan</v>
      </c>
      <c r="S234" t="str">
        <f t="shared" si="23"/>
        <v>2026-01</v>
      </c>
    </row>
    <row r="235" spans="1:19" x14ac:dyDescent="0.25">
      <c r="A235" t="s">
        <v>296</v>
      </c>
      <c r="B235" t="s">
        <v>99</v>
      </c>
      <c r="C235" s="1">
        <v>46052</v>
      </c>
      <c r="D235" s="1">
        <v>46082</v>
      </c>
      <c r="E235" s="1">
        <v>46095</v>
      </c>
      <c r="F235" t="s">
        <v>45</v>
      </c>
      <c r="G235" t="s">
        <v>31</v>
      </c>
      <c r="H235">
        <v>2335.41</v>
      </c>
      <c r="I235">
        <v>2335.41</v>
      </c>
      <c r="J235" t="s">
        <v>25</v>
      </c>
      <c r="K235" t="s">
        <v>18</v>
      </c>
      <c r="L235" t="s">
        <v>19</v>
      </c>
      <c r="M235" t="s">
        <v>28</v>
      </c>
      <c r="N235" s="3">
        <f t="shared" si="18"/>
        <v>0</v>
      </c>
      <c r="O235" s="4">
        <f t="shared" si="19"/>
        <v>43</v>
      </c>
      <c r="P235" s="4">
        <f t="shared" ca="1" si="20"/>
        <v>0</v>
      </c>
      <c r="Q235" s="2" t="str">
        <f t="shared" si="21"/>
        <v>Paid</v>
      </c>
      <c r="R235" t="str">
        <f t="shared" si="22"/>
        <v>Jan</v>
      </c>
      <c r="S235" t="str">
        <f t="shared" si="23"/>
        <v>2026-01</v>
      </c>
    </row>
    <row r="236" spans="1:19" x14ac:dyDescent="0.25">
      <c r="A236" t="s">
        <v>297</v>
      </c>
      <c r="B236" t="s">
        <v>111</v>
      </c>
      <c r="C236" s="1">
        <v>46052</v>
      </c>
      <c r="D236" s="1">
        <v>46082</v>
      </c>
      <c r="F236" t="s">
        <v>23</v>
      </c>
      <c r="G236" t="s">
        <v>31</v>
      </c>
      <c r="H236">
        <v>2132.46</v>
      </c>
      <c r="I236">
        <v>0</v>
      </c>
      <c r="J236" t="s">
        <v>17</v>
      </c>
      <c r="K236" t="s">
        <v>26</v>
      </c>
      <c r="L236" t="s">
        <v>27</v>
      </c>
      <c r="M236" t="s">
        <v>39</v>
      </c>
      <c r="N236" s="3">
        <f t="shared" si="18"/>
        <v>2132.46</v>
      </c>
      <c r="O236" s="4" t="str">
        <f t="shared" si="19"/>
        <v/>
      </c>
      <c r="P236" s="4">
        <f t="shared" ca="1" si="20"/>
        <v>15</v>
      </c>
      <c r="Q236" s="2" t="str">
        <f t="shared" ca="1" si="21"/>
        <v>1-30</v>
      </c>
      <c r="R236" t="str">
        <f t="shared" si="22"/>
        <v>Jan</v>
      </c>
      <c r="S236" t="str">
        <f t="shared" si="23"/>
        <v>2026-01</v>
      </c>
    </row>
    <row r="237" spans="1:19" x14ac:dyDescent="0.25">
      <c r="A237" t="s">
        <v>298</v>
      </c>
      <c r="B237" t="s">
        <v>52</v>
      </c>
      <c r="C237" s="1">
        <v>46052</v>
      </c>
      <c r="D237" s="1">
        <v>46082</v>
      </c>
      <c r="F237" t="s">
        <v>15</v>
      </c>
      <c r="G237" t="s">
        <v>24</v>
      </c>
      <c r="H237">
        <v>2979.37</v>
      </c>
      <c r="I237">
        <v>0</v>
      </c>
      <c r="J237" t="s">
        <v>17</v>
      </c>
      <c r="K237" t="s">
        <v>26</v>
      </c>
      <c r="L237" t="s">
        <v>55</v>
      </c>
      <c r="M237" t="s">
        <v>32</v>
      </c>
      <c r="N237" s="3">
        <f t="shared" si="18"/>
        <v>2979.37</v>
      </c>
      <c r="O237" s="4" t="str">
        <f t="shared" si="19"/>
        <v/>
      </c>
      <c r="P237" s="4">
        <f t="shared" ca="1" si="20"/>
        <v>15</v>
      </c>
      <c r="Q237" s="2" t="str">
        <f t="shared" ca="1" si="21"/>
        <v>1-30</v>
      </c>
      <c r="R237" t="str">
        <f t="shared" si="22"/>
        <v>Jan</v>
      </c>
      <c r="S237" t="str">
        <f t="shared" si="23"/>
        <v>2026-01</v>
      </c>
    </row>
    <row r="238" spans="1:19" x14ac:dyDescent="0.25">
      <c r="A238" t="s">
        <v>299</v>
      </c>
      <c r="B238" t="s">
        <v>64</v>
      </c>
      <c r="C238" s="1">
        <v>46053</v>
      </c>
      <c r="D238" s="1">
        <v>46083</v>
      </c>
      <c r="E238" s="1">
        <v>46078</v>
      </c>
      <c r="F238" t="s">
        <v>45</v>
      </c>
      <c r="G238" t="s">
        <v>53</v>
      </c>
      <c r="H238">
        <v>3320.82</v>
      </c>
      <c r="I238">
        <v>3320.82</v>
      </c>
      <c r="J238" t="s">
        <v>25</v>
      </c>
      <c r="K238" t="s">
        <v>18</v>
      </c>
      <c r="L238" t="s">
        <v>19</v>
      </c>
      <c r="M238" t="s">
        <v>46</v>
      </c>
      <c r="N238" s="3">
        <f t="shared" si="18"/>
        <v>0</v>
      </c>
      <c r="O238" s="4">
        <f t="shared" si="19"/>
        <v>25</v>
      </c>
      <c r="P238" s="4">
        <f t="shared" ca="1" si="20"/>
        <v>0</v>
      </c>
      <c r="Q238" s="2" t="str">
        <f t="shared" si="21"/>
        <v>Paid</v>
      </c>
      <c r="R238" t="str">
        <f t="shared" si="22"/>
        <v>Jan</v>
      </c>
      <c r="S238" t="str">
        <f t="shared" si="23"/>
        <v>2026-01</v>
      </c>
    </row>
    <row r="239" spans="1:19" x14ac:dyDescent="0.25">
      <c r="A239" t="s">
        <v>300</v>
      </c>
      <c r="B239" t="s">
        <v>58</v>
      </c>
      <c r="C239" s="1">
        <v>46054</v>
      </c>
      <c r="D239" s="1">
        <v>46084</v>
      </c>
      <c r="E239" s="1">
        <v>46077</v>
      </c>
      <c r="F239" t="s">
        <v>23</v>
      </c>
      <c r="G239" t="s">
        <v>16</v>
      </c>
      <c r="H239">
        <v>1760.48</v>
      </c>
      <c r="I239">
        <v>1760.48</v>
      </c>
      <c r="J239" t="s">
        <v>25</v>
      </c>
      <c r="K239" t="s">
        <v>18</v>
      </c>
      <c r="L239" t="s">
        <v>19</v>
      </c>
      <c r="M239" t="s">
        <v>39</v>
      </c>
      <c r="N239" s="3">
        <f t="shared" si="18"/>
        <v>0</v>
      </c>
      <c r="O239" s="4">
        <f t="shared" si="19"/>
        <v>23</v>
      </c>
      <c r="P239" s="4">
        <f t="shared" ca="1" si="20"/>
        <v>0</v>
      </c>
      <c r="Q239" s="2" t="str">
        <f t="shared" si="21"/>
        <v>Paid</v>
      </c>
      <c r="R239" t="str">
        <f t="shared" si="22"/>
        <v>Feb</v>
      </c>
      <c r="S239" t="str">
        <f t="shared" si="23"/>
        <v>2026-02</v>
      </c>
    </row>
    <row r="240" spans="1:19" x14ac:dyDescent="0.25">
      <c r="A240" t="s">
        <v>301</v>
      </c>
      <c r="B240" t="s">
        <v>36</v>
      </c>
      <c r="C240" s="1">
        <v>46055</v>
      </c>
      <c r="D240" s="1">
        <v>46085</v>
      </c>
      <c r="F240" t="s">
        <v>59</v>
      </c>
      <c r="G240" t="s">
        <v>16</v>
      </c>
      <c r="H240">
        <v>2181.6999999999998</v>
      </c>
      <c r="I240">
        <v>0</v>
      </c>
      <c r="J240" t="s">
        <v>17</v>
      </c>
      <c r="K240" t="s">
        <v>26</v>
      </c>
      <c r="L240" t="s">
        <v>55</v>
      </c>
      <c r="M240" t="s">
        <v>46</v>
      </c>
      <c r="N240" s="3">
        <f t="shared" si="18"/>
        <v>2181.6999999999998</v>
      </c>
      <c r="O240" s="4" t="str">
        <f t="shared" si="19"/>
        <v/>
      </c>
      <c r="P240" s="4">
        <f t="shared" ca="1" si="20"/>
        <v>12</v>
      </c>
      <c r="Q240" s="2" t="str">
        <f t="shared" ca="1" si="21"/>
        <v>1-30</v>
      </c>
      <c r="R240" t="str">
        <f t="shared" si="22"/>
        <v>Feb</v>
      </c>
      <c r="S240" t="str">
        <f t="shared" si="23"/>
        <v>2026-02</v>
      </c>
    </row>
    <row r="241" spans="1:19" x14ac:dyDescent="0.25">
      <c r="A241" t="s">
        <v>302</v>
      </c>
      <c r="B241" t="s">
        <v>36</v>
      </c>
      <c r="C241" s="1">
        <v>46055</v>
      </c>
      <c r="D241" s="1">
        <v>46085</v>
      </c>
      <c r="E241" s="1">
        <v>46107</v>
      </c>
      <c r="F241" t="s">
        <v>30</v>
      </c>
      <c r="G241" t="s">
        <v>37</v>
      </c>
      <c r="H241">
        <v>5858.52</v>
      </c>
      <c r="I241">
        <v>5858.52</v>
      </c>
      <c r="J241" t="s">
        <v>25</v>
      </c>
      <c r="K241" t="s">
        <v>18</v>
      </c>
      <c r="L241" t="s">
        <v>19</v>
      </c>
      <c r="M241" t="s">
        <v>32</v>
      </c>
      <c r="N241" s="3">
        <f t="shared" si="18"/>
        <v>0</v>
      </c>
      <c r="O241" s="4">
        <f t="shared" si="19"/>
        <v>52</v>
      </c>
      <c r="P241" s="4">
        <f t="shared" ca="1" si="20"/>
        <v>0</v>
      </c>
      <c r="Q241" s="2" t="str">
        <f t="shared" si="21"/>
        <v>Paid</v>
      </c>
      <c r="R241" t="str">
        <f t="shared" si="22"/>
        <v>Feb</v>
      </c>
      <c r="S241" t="str">
        <f t="shared" si="23"/>
        <v>2026-02</v>
      </c>
    </row>
    <row r="242" spans="1:19" x14ac:dyDescent="0.25">
      <c r="A242" t="s">
        <v>303</v>
      </c>
      <c r="B242" t="s">
        <v>50</v>
      </c>
      <c r="C242" s="1">
        <v>46056</v>
      </c>
      <c r="D242" s="1">
        <v>46086</v>
      </c>
      <c r="E242" s="1">
        <v>46099</v>
      </c>
      <c r="F242" t="s">
        <v>15</v>
      </c>
      <c r="G242" t="s">
        <v>16</v>
      </c>
      <c r="H242">
        <v>1517.64</v>
      </c>
      <c r="I242">
        <v>1517.64</v>
      </c>
      <c r="J242" t="s">
        <v>25</v>
      </c>
      <c r="K242" t="s">
        <v>18</v>
      </c>
      <c r="L242" t="s">
        <v>19</v>
      </c>
      <c r="M242" t="s">
        <v>20</v>
      </c>
      <c r="N242" s="3">
        <f t="shared" si="18"/>
        <v>0</v>
      </c>
      <c r="O242" s="4">
        <f t="shared" si="19"/>
        <v>43</v>
      </c>
      <c r="P242" s="4">
        <f t="shared" ca="1" si="20"/>
        <v>0</v>
      </c>
      <c r="Q242" s="2" t="str">
        <f t="shared" si="21"/>
        <v>Paid</v>
      </c>
      <c r="R242" t="str">
        <f t="shared" si="22"/>
        <v>Feb</v>
      </c>
      <c r="S242" t="str">
        <f t="shared" si="23"/>
        <v>2026-02</v>
      </c>
    </row>
    <row r="243" spans="1:19" x14ac:dyDescent="0.25">
      <c r="A243" t="s">
        <v>304</v>
      </c>
      <c r="B243" t="s">
        <v>44</v>
      </c>
      <c r="C243" s="1">
        <v>46057</v>
      </c>
      <c r="D243" s="1">
        <v>46087</v>
      </c>
      <c r="F243" t="s">
        <v>59</v>
      </c>
      <c r="G243" t="s">
        <v>53</v>
      </c>
      <c r="H243">
        <v>6234.12</v>
      </c>
      <c r="I243">
        <v>0</v>
      </c>
      <c r="J243" t="s">
        <v>17</v>
      </c>
      <c r="K243" t="s">
        <v>26</v>
      </c>
      <c r="L243" t="s">
        <v>55</v>
      </c>
      <c r="M243" t="s">
        <v>28</v>
      </c>
      <c r="N243" s="3">
        <f t="shared" si="18"/>
        <v>6234.12</v>
      </c>
      <c r="O243" s="4" t="str">
        <f t="shared" si="19"/>
        <v/>
      </c>
      <c r="P243" s="4">
        <f t="shared" ca="1" si="20"/>
        <v>10</v>
      </c>
      <c r="Q243" s="2" t="str">
        <f t="shared" ca="1" si="21"/>
        <v>1-30</v>
      </c>
      <c r="R243" t="str">
        <f t="shared" si="22"/>
        <v>Feb</v>
      </c>
      <c r="S243" t="str">
        <f t="shared" si="23"/>
        <v>2026-02</v>
      </c>
    </row>
    <row r="244" spans="1:19" x14ac:dyDescent="0.25">
      <c r="A244" t="s">
        <v>305</v>
      </c>
      <c r="B244" t="s">
        <v>78</v>
      </c>
      <c r="C244" s="1">
        <v>46058</v>
      </c>
      <c r="D244" s="1">
        <v>46088</v>
      </c>
      <c r="E244" s="1">
        <v>46076</v>
      </c>
      <c r="F244" t="s">
        <v>30</v>
      </c>
      <c r="G244" t="s">
        <v>24</v>
      </c>
      <c r="H244">
        <v>3614.98</v>
      </c>
      <c r="I244">
        <v>3614.98</v>
      </c>
      <c r="J244" t="s">
        <v>25</v>
      </c>
      <c r="K244" t="s">
        <v>18</v>
      </c>
      <c r="L244" t="s">
        <v>19</v>
      </c>
      <c r="M244" t="s">
        <v>46</v>
      </c>
      <c r="N244" s="3">
        <f t="shared" si="18"/>
        <v>0</v>
      </c>
      <c r="O244" s="4">
        <f t="shared" si="19"/>
        <v>18</v>
      </c>
      <c r="P244" s="4">
        <f t="shared" ca="1" si="20"/>
        <v>0</v>
      </c>
      <c r="Q244" s="2" t="str">
        <f t="shared" si="21"/>
        <v>Paid</v>
      </c>
      <c r="R244" t="str">
        <f t="shared" si="22"/>
        <v>Feb</v>
      </c>
      <c r="S244" t="str">
        <f t="shared" si="23"/>
        <v>2026-02</v>
      </c>
    </row>
    <row r="245" spans="1:19" x14ac:dyDescent="0.25">
      <c r="A245" t="s">
        <v>306</v>
      </c>
      <c r="B245" t="s">
        <v>78</v>
      </c>
      <c r="C245" s="1">
        <v>46059</v>
      </c>
      <c r="D245" s="1">
        <v>46089</v>
      </c>
      <c r="F245" t="s">
        <v>45</v>
      </c>
      <c r="G245" t="s">
        <v>24</v>
      </c>
      <c r="H245">
        <v>5154.68</v>
      </c>
      <c r="I245">
        <v>0</v>
      </c>
      <c r="J245" t="s">
        <v>17</v>
      </c>
      <c r="K245" t="s">
        <v>18</v>
      </c>
      <c r="L245" t="s">
        <v>19</v>
      </c>
      <c r="M245" t="s">
        <v>32</v>
      </c>
      <c r="N245" s="3">
        <f t="shared" si="18"/>
        <v>5154.68</v>
      </c>
      <c r="O245" s="4" t="str">
        <f t="shared" si="19"/>
        <v/>
      </c>
      <c r="P245" s="4">
        <f t="shared" ca="1" si="20"/>
        <v>8</v>
      </c>
      <c r="Q245" s="2" t="str">
        <f t="shared" ca="1" si="21"/>
        <v>1-30</v>
      </c>
      <c r="R245" t="str">
        <f t="shared" si="22"/>
        <v>Feb</v>
      </c>
      <c r="S245" t="str">
        <f t="shared" si="23"/>
        <v>2026-02</v>
      </c>
    </row>
    <row r="246" spans="1:19" x14ac:dyDescent="0.25">
      <c r="A246" t="s">
        <v>307</v>
      </c>
      <c r="B246" t="s">
        <v>126</v>
      </c>
      <c r="C246" s="1">
        <v>46063</v>
      </c>
      <c r="D246" s="1">
        <v>46093</v>
      </c>
      <c r="E246" s="1">
        <v>46084</v>
      </c>
      <c r="F246" t="s">
        <v>59</v>
      </c>
      <c r="G246" t="s">
        <v>37</v>
      </c>
      <c r="H246">
        <v>3547.41</v>
      </c>
      <c r="I246">
        <v>3547.41</v>
      </c>
      <c r="J246" t="s">
        <v>25</v>
      </c>
      <c r="K246" t="s">
        <v>26</v>
      </c>
      <c r="L246" t="s">
        <v>27</v>
      </c>
      <c r="M246" t="s">
        <v>39</v>
      </c>
      <c r="N246" s="3">
        <f t="shared" si="18"/>
        <v>0</v>
      </c>
      <c r="O246" s="4">
        <f t="shared" si="19"/>
        <v>21</v>
      </c>
      <c r="P246" s="4">
        <f t="shared" ca="1" si="20"/>
        <v>0</v>
      </c>
      <c r="Q246" s="2" t="str">
        <f t="shared" si="21"/>
        <v>Paid</v>
      </c>
      <c r="R246" t="str">
        <f t="shared" si="22"/>
        <v>Feb</v>
      </c>
      <c r="S246" t="str">
        <f t="shared" si="23"/>
        <v>2026-02</v>
      </c>
    </row>
    <row r="247" spans="1:19" x14ac:dyDescent="0.25">
      <c r="A247" t="s">
        <v>308</v>
      </c>
      <c r="B247" t="s">
        <v>50</v>
      </c>
      <c r="C247" s="1">
        <v>46063</v>
      </c>
      <c r="D247" s="1">
        <v>46093</v>
      </c>
      <c r="E247" s="1">
        <v>46111</v>
      </c>
      <c r="F247" t="s">
        <v>15</v>
      </c>
      <c r="G247" t="s">
        <v>53</v>
      </c>
      <c r="H247">
        <v>3980.45</v>
      </c>
      <c r="I247">
        <v>3980.45</v>
      </c>
      <c r="J247" t="s">
        <v>25</v>
      </c>
      <c r="K247" t="s">
        <v>18</v>
      </c>
      <c r="L247" t="s">
        <v>19</v>
      </c>
      <c r="M247" t="s">
        <v>46</v>
      </c>
      <c r="N247" s="3">
        <f t="shared" si="18"/>
        <v>0</v>
      </c>
      <c r="O247" s="4">
        <f t="shared" si="19"/>
        <v>48</v>
      </c>
      <c r="P247" s="4">
        <f t="shared" ca="1" si="20"/>
        <v>0</v>
      </c>
      <c r="Q247" s="2" t="str">
        <f t="shared" si="21"/>
        <v>Paid</v>
      </c>
      <c r="R247" t="str">
        <f t="shared" si="22"/>
        <v>Feb</v>
      </c>
      <c r="S247" t="str">
        <f t="shared" si="23"/>
        <v>2026-02</v>
      </c>
    </row>
    <row r="248" spans="1:19" x14ac:dyDescent="0.25">
      <c r="A248" t="s">
        <v>309</v>
      </c>
      <c r="B248" t="s">
        <v>41</v>
      </c>
      <c r="C248" s="1">
        <v>46066</v>
      </c>
      <c r="D248" s="1">
        <v>46096</v>
      </c>
      <c r="F248" t="s">
        <v>59</v>
      </c>
      <c r="G248" t="s">
        <v>53</v>
      </c>
      <c r="H248">
        <v>1368.57</v>
      </c>
      <c r="I248">
        <v>0</v>
      </c>
      <c r="J248" t="s">
        <v>17</v>
      </c>
      <c r="K248" t="s">
        <v>26</v>
      </c>
      <c r="L248" t="s">
        <v>93</v>
      </c>
      <c r="M248" t="s">
        <v>32</v>
      </c>
      <c r="N248" s="3">
        <f t="shared" si="18"/>
        <v>1368.57</v>
      </c>
      <c r="O248" s="4" t="str">
        <f t="shared" si="19"/>
        <v/>
      </c>
      <c r="P248" s="4">
        <f t="shared" ca="1" si="20"/>
        <v>1</v>
      </c>
      <c r="Q248" s="2" t="str">
        <f t="shared" ca="1" si="21"/>
        <v>1-30</v>
      </c>
      <c r="R248" t="str">
        <f t="shared" si="22"/>
        <v>Feb</v>
      </c>
      <c r="S248" t="str">
        <f t="shared" si="23"/>
        <v>2026-02</v>
      </c>
    </row>
    <row r="249" spans="1:19" x14ac:dyDescent="0.25">
      <c r="A249" t="s">
        <v>310</v>
      </c>
      <c r="B249" t="s">
        <v>71</v>
      </c>
      <c r="C249" s="1">
        <v>46068</v>
      </c>
      <c r="D249" s="1">
        <v>46098</v>
      </c>
      <c r="E249" s="1">
        <v>46114</v>
      </c>
      <c r="F249" t="s">
        <v>59</v>
      </c>
      <c r="G249" t="s">
        <v>16</v>
      </c>
      <c r="H249">
        <v>1597.54</v>
      </c>
      <c r="I249">
        <v>921.36</v>
      </c>
      <c r="J249" t="s">
        <v>66</v>
      </c>
      <c r="K249" t="s">
        <v>26</v>
      </c>
      <c r="L249" t="s">
        <v>85</v>
      </c>
      <c r="M249" t="s">
        <v>28</v>
      </c>
      <c r="N249" s="3">
        <f t="shared" si="18"/>
        <v>676.18</v>
      </c>
      <c r="O249" s="4">
        <f t="shared" si="19"/>
        <v>46</v>
      </c>
      <c r="P249" s="4">
        <f t="shared" ca="1" si="20"/>
        <v>-1</v>
      </c>
      <c r="Q249" s="2" t="str">
        <f t="shared" ca="1" si="21"/>
        <v>Current</v>
      </c>
      <c r="R249" t="str">
        <f t="shared" si="22"/>
        <v>Feb</v>
      </c>
      <c r="S249" t="str">
        <f t="shared" si="23"/>
        <v>2026-02</v>
      </c>
    </row>
    <row r="250" spans="1:19" x14ac:dyDescent="0.25">
      <c r="A250" t="s">
        <v>311</v>
      </c>
      <c r="B250" t="s">
        <v>76</v>
      </c>
      <c r="C250" s="1">
        <v>46069</v>
      </c>
      <c r="D250" s="1">
        <v>46099</v>
      </c>
      <c r="E250" s="1">
        <v>46106</v>
      </c>
      <c r="F250" t="s">
        <v>15</v>
      </c>
      <c r="G250" t="s">
        <v>31</v>
      </c>
      <c r="H250">
        <v>630.55999999999995</v>
      </c>
      <c r="I250">
        <v>630.55999999999995</v>
      </c>
      <c r="J250" t="s">
        <v>25</v>
      </c>
      <c r="K250" t="s">
        <v>18</v>
      </c>
      <c r="L250" t="s">
        <v>19</v>
      </c>
      <c r="M250" t="s">
        <v>42</v>
      </c>
      <c r="N250" s="3">
        <f t="shared" si="18"/>
        <v>0</v>
      </c>
      <c r="O250" s="4">
        <f t="shared" si="19"/>
        <v>37</v>
      </c>
      <c r="P250" s="4">
        <f t="shared" ca="1" si="20"/>
        <v>0</v>
      </c>
      <c r="Q250" s="2" t="str">
        <f t="shared" si="21"/>
        <v>Paid</v>
      </c>
      <c r="R250" t="str">
        <f t="shared" si="22"/>
        <v>Feb</v>
      </c>
      <c r="S250" t="str">
        <f t="shared" si="23"/>
        <v>2026-02</v>
      </c>
    </row>
    <row r="251" spans="1:19" x14ac:dyDescent="0.25">
      <c r="A251" t="s">
        <v>312</v>
      </c>
      <c r="B251" t="s">
        <v>44</v>
      </c>
      <c r="C251" s="1">
        <v>46070</v>
      </c>
      <c r="D251" s="1">
        <v>46100</v>
      </c>
      <c r="E251" s="1">
        <v>46111</v>
      </c>
      <c r="F251" t="s">
        <v>59</v>
      </c>
      <c r="G251" t="s">
        <v>53</v>
      </c>
      <c r="H251">
        <v>6117.95</v>
      </c>
      <c r="I251">
        <v>6117.95</v>
      </c>
      <c r="J251" t="s">
        <v>25</v>
      </c>
      <c r="K251" t="s">
        <v>18</v>
      </c>
      <c r="L251" t="s">
        <v>19</v>
      </c>
      <c r="M251" t="s">
        <v>32</v>
      </c>
      <c r="N251" s="3">
        <f t="shared" si="18"/>
        <v>0</v>
      </c>
      <c r="O251" s="4">
        <f t="shared" si="19"/>
        <v>41</v>
      </c>
      <c r="P251" s="4">
        <f t="shared" ca="1" si="20"/>
        <v>0</v>
      </c>
      <c r="Q251" s="2" t="str">
        <f t="shared" si="21"/>
        <v>Paid</v>
      </c>
      <c r="R251" t="str">
        <f t="shared" si="22"/>
        <v>Feb</v>
      </c>
      <c r="S251" t="str">
        <f t="shared" si="23"/>
        <v>2026-02</v>
      </c>
    </row>
    <row r="252" spans="1:19" x14ac:dyDescent="0.25">
      <c r="A252" t="s">
        <v>313</v>
      </c>
      <c r="B252" t="s">
        <v>111</v>
      </c>
      <c r="C252" s="1">
        <v>46070</v>
      </c>
      <c r="D252" s="1">
        <v>46100</v>
      </c>
      <c r="E252" s="1">
        <v>46093</v>
      </c>
      <c r="F252" t="s">
        <v>30</v>
      </c>
      <c r="G252" t="s">
        <v>31</v>
      </c>
      <c r="H252">
        <v>1296.8699999999999</v>
      </c>
      <c r="I252">
        <v>1296.8699999999999</v>
      </c>
      <c r="J252" t="s">
        <v>25</v>
      </c>
      <c r="K252" t="s">
        <v>18</v>
      </c>
      <c r="L252" t="s">
        <v>19</v>
      </c>
      <c r="M252" t="s">
        <v>42</v>
      </c>
      <c r="N252" s="3">
        <f t="shared" si="18"/>
        <v>0</v>
      </c>
      <c r="O252" s="4">
        <f t="shared" si="19"/>
        <v>23</v>
      </c>
      <c r="P252" s="4">
        <f t="shared" ca="1" si="20"/>
        <v>0</v>
      </c>
      <c r="Q252" s="2" t="str">
        <f t="shared" si="21"/>
        <v>Paid</v>
      </c>
      <c r="R252" t="str">
        <f t="shared" si="22"/>
        <v>Feb</v>
      </c>
      <c r="S252" t="str">
        <f t="shared" si="23"/>
        <v>2026-02</v>
      </c>
    </row>
    <row r="253" spans="1:19" x14ac:dyDescent="0.25">
      <c r="A253" t="s">
        <v>314</v>
      </c>
      <c r="B253" t="s">
        <v>76</v>
      </c>
      <c r="C253" s="1">
        <v>46070</v>
      </c>
      <c r="D253" s="1">
        <v>46100</v>
      </c>
      <c r="E253" s="1">
        <v>46111</v>
      </c>
      <c r="F253" t="s">
        <v>30</v>
      </c>
      <c r="G253" t="s">
        <v>69</v>
      </c>
      <c r="H253">
        <v>3017.9</v>
      </c>
      <c r="I253">
        <v>3017.9</v>
      </c>
      <c r="J253" t="s">
        <v>25</v>
      </c>
      <c r="K253" t="s">
        <v>18</v>
      </c>
      <c r="L253" t="s">
        <v>19</v>
      </c>
      <c r="M253" t="s">
        <v>20</v>
      </c>
      <c r="N253" s="3">
        <f t="shared" si="18"/>
        <v>0</v>
      </c>
      <c r="O253" s="4">
        <f t="shared" si="19"/>
        <v>41</v>
      </c>
      <c r="P253" s="4">
        <f t="shared" ca="1" si="20"/>
        <v>0</v>
      </c>
      <c r="Q253" s="2" t="str">
        <f t="shared" si="21"/>
        <v>Paid</v>
      </c>
      <c r="R253" t="str">
        <f t="shared" si="22"/>
        <v>Feb</v>
      </c>
      <c r="S253" t="str">
        <f t="shared" si="23"/>
        <v>2026-02</v>
      </c>
    </row>
    <row r="254" spans="1:19" x14ac:dyDescent="0.25">
      <c r="A254" t="s">
        <v>315</v>
      </c>
      <c r="B254" t="s">
        <v>48</v>
      </c>
      <c r="C254" s="1">
        <v>46071</v>
      </c>
      <c r="D254" s="1">
        <v>46101</v>
      </c>
      <c r="E254" s="1">
        <v>46106</v>
      </c>
      <c r="F254" t="s">
        <v>45</v>
      </c>
      <c r="G254" t="s">
        <v>16</v>
      </c>
      <c r="H254">
        <v>886.79</v>
      </c>
      <c r="I254">
        <v>886.79</v>
      </c>
      <c r="J254" t="s">
        <v>25</v>
      </c>
      <c r="K254" t="s">
        <v>18</v>
      </c>
      <c r="L254" t="s">
        <v>19</v>
      </c>
      <c r="M254" t="s">
        <v>39</v>
      </c>
      <c r="N254" s="3">
        <f t="shared" si="18"/>
        <v>0</v>
      </c>
      <c r="O254" s="4">
        <f t="shared" si="19"/>
        <v>35</v>
      </c>
      <c r="P254" s="4">
        <f t="shared" ca="1" si="20"/>
        <v>0</v>
      </c>
      <c r="Q254" s="2" t="str">
        <f t="shared" si="21"/>
        <v>Paid</v>
      </c>
      <c r="R254" t="str">
        <f t="shared" si="22"/>
        <v>Feb</v>
      </c>
      <c r="S254" t="str">
        <f t="shared" si="23"/>
        <v>2026-02</v>
      </c>
    </row>
    <row r="255" spans="1:19" x14ac:dyDescent="0.25">
      <c r="A255" t="s">
        <v>316</v>
      </c>
      <c r="B255" t="s">
        <v>126</v>
      </c>
      <c r="C255" s="1">
        <v>46072</v>
      </c>
      <c r="D255" s="1">
        <v>46102</v>
      </c>
      <c r="E255" s="1">
        <v>46106</v>
      </c>
      <c r="F255" t="s">
        <v>59</v>
      </c>
      <c r="G255" t="s">
        <v>24</v>
      </c>
      <c r="H255">
        <v>1040.4100000000001</v>
      </c>
      <c r="I255">
        <v>1040.4100000000001</v>
      </c>
      <c r="J255" t="s">
        <v>25</v>
      </c>
      <c r="K255" t="s">
        <v>18</v>
      </c>
      <c r="L255" t="s">
        <v>19</v>
      </c>
      <c r="M255" t="s">
        <v>32</v>
      </c>
      <c r="N255" s="3">
        <f t="shared" si="18"/>
        <v>0</v>
      </c>
      <c r="O255" s="4">
        <f t="shared" si="19"/>
        <v>34</v>
      </c>
      <c r="P255" s="4">
        <f t="shared" ca="1" si="20"/>
        <v>0</v>
      </c>
      <c r="Q255" s="2" t="str">
        <f t="shared" si="21"/>
        <v>Paid</v>
      </c>
      <c r="R255" t="str">
        <f t="shared" si="22"/>
        <v>Feb</v>
      </c>
      <c r="S255" t="str">
        <f t="shared" si="23"/>
        <v>2026-02</v>
      </c>
    </row>
    <row r="256" spans="1:19" x14ac:dyDescent="0.25">
      <c r="A256" t="s">
        <v>317</v>
      </c>
      <c r="B256" t="s">
        <v>52</v>
      </c>
      <c r="C256" s="1">
        <v>46073</v>
      </c>
      <c r="D256" s="1">
        <v>46103</v>
      </c>
      <c r="E256" s="1">
        <v>46132</v>
      </c>
      <c r="F256" t="s">
        <v>30</v>
      </c>
      <c r="G256" t="s">
        <v>24</v>
      </c>
      <c r="H256">
        <v>4969.3</v>
      </c>
      <c r="I256">
        <v>1364.78</v>
      </c>
      <c r="J256" t="s">
        <v>66</v>
      </c>
      <c r="K256" t="s">
        <v>18</v>
      </c>
      <c r="L256" t="s">
        <v>19</v>
      </c>
      <c r="M256" t="s">
        <v>39</v>
      </c>
      <c r="N256" s="3">
        <f t="shared" si="18"/>
        <v>3604.5200000000004</v>
      </c>
      <c r="O256" s="4">
        <f t="shared" si="19"/>
        <v>59</v>
      </c>
      <c r="P256" s="4">
        <f t="shared" ca="1" si="20"/>
        <v>-6</v>
      </c>
      <c r="Q256" s="2" t="str">
        <f t="shared" ca="1" si="21"/>
        <v>Current</v>
      </c>
      <c r="R256" t="str">
        <f t="shared" si="22"/>
        <v>Feb</v>
      </c>
      <c r="S256" t="str">
        <f t="shared" si="23"/>
        <v>2026-02</v>
      </c>
    </row>
    <row r="257" spans="1:19" x14ac:dyDescent="0.25">
      <c r="A257" t="s">
        <v>318</v>
      </c>
      <c r="B257" t="s">
        <v>48</v>
      </c>
      <c r="C257" s="1">
        <v>46073</v>
      </c>
      <c r="D257" s="1">
        <v>46103</v>
      </c>
      <c r="E257" s="1">
        <v>46094</v>
      </c>
      <c r="F257" t="s">
        <v>59</v>
      </c>
      <c r="G257" t="s">
        <v>24</v>
      </c>
      <c r="H257">
        <v>3077.59</v>
      </c>
      <c r="I257">
        <v>3077.59</v>
      </c>
      <c r="J257" t="s">
        <v>25</v>
      </c>
      <c r="K257" t="s">
        <v>26</v>
      </c>
      <c r="L257" t="s">
        <v>27</v>
      </c>
      <c r="M257" t="s">
        <v>20</v>
      </c>
      <c r="N257" s="3">
        <f t="shared" si="18"/>
        <v>0</v>
      </c>
      <c r="O257" s="4">
        <f t="shared" si="19"/>
        <v>21</v>
      </c>
      <c r="P257" s="4">
        <f t="shared" ca="1" si="20"/>
        <v>0</v>
      </c>
      <c r="Q257" s="2" t="str">
        <f t="shared" si="21"/>
        <v>Paid</v>
      </c>
      <c r="R257" t="str">
        <f t="shared" si="22"/>
        <v>Feb</v>
      </c>
      <c r="S257" t="str">
        <f t="shared" si="23"/>
        <v>2026-02</v>
      </c>
    </row>
    <row r="258" spans="1:19" x14ac:dyDescent="0.25">
      <c r="A258" t="s">
        <v>319</v>
      </c>
      <c r="B258" t="s">
        <v>99</v>
      </c>
      <c r="C258" s="1">
        <v>46074</v>
      </c>
      <c r="D258" s="1">
        <v>46104</v>
      </c>
      <c r="E258" s="1">
        <v>46135</v>
      </c>
      <c r="F258" t="s">
        <v>59</v>
      </c>
      <c r="G258" t="s">
        <v>37</v>
      </c>
      <c r="H258">
        <v>3021.79</v>
      </c>
      <c r="I258">
        <v>2034.08</v>
      </c>
      <c r="J258" t="s">
        <v>66</v>
      </c>
      <c r="K258" t="s">
        <v>26</v>
      </c>
      <c r="L258" t="s">
        <v>38</v>
      </c>
      <c r="M258" t="s">
        <v>20</v>
      </c>
      <c r="N258" s="3">
        <f t="shared" si="18"/>
        <v>987.71</v>
      </c>
      <c r="O258" s="4">
        <f t="shared" si="19"/>
        <v>61</v>
      </c>
      <c r="P258" s="4">
        <f t="shared" ca="1" si="20"/>
        <v>-7</v>
      </c>
      <c r="Q258" s="2" t="str">
        <f t="shared" ca="1" si="21"/>
        <v>Current</v>
      </c>
      <c r="R258" t="str">
        <f t="shared" si="22"/>
        <v>Feb</v>
      </c>
      <c r="S258" t="str">
        <f t="shared" si="23"/>
        <v>2026-02</v>
      </c>
    </row>
    <row r="259" spans="1:19" x14ac:dyDescent="0.25">
      <c r="A259" t="s">
        <v>320</v>
      </c>
      <c r="B259" t="s">
        <v>50</v>
      </c>
      <c r="C259" s="1">
        <v>46077</v>
      </c>
      <c r="D259" s="1">
        <v>46107</v>
      </c>
      <c r="E259" s="1">
        <v>46131</v>
      </c>
      <c r="F259" t="s">
        <v>59</v>
      </c>
      <c r="G259" t="s">
        <v>24</v>
      </c>
      <c r="H259">
        <v>3291.72</v>
      </c>
      <c r="I259">
        <v>3291.72</v>
      </c>
      <c r="J259" t="s">
        <v>25</v>
      </c>
      <c r="K259" t="s">
        <v>18</v>
      </c>
      <c r="L259" t="s">
        <v>19</v>
      </c>
      <c r="M259" t="s">
        <v>28</v>
      </c>
      <c r="N259" s="3">
        <f>H259-I259</f>
        <v>0</v>
      </c>
      <c r="O259" s="4">
        <f>IF(E259="","",E259-C259)</f>
        <v>54</v>
      </c>
      <c r="P259" s="4">
        <f ca="1">IF(N259&lt;=0,0,TODAY()-D259)</f>
        <v>0</v>
      </c>
      <c r="Q259" s="2" t="str">
        <f>IF(N259&lt;=0,"Paid",IF(P259&lt;=0,"Current",IF(P259&lt;=30,"1-30",IF(P259&lt;=60,"31-60",IF(P259&lt;=90,"61-90","90+")))))</f>
        <v>Paid</v>
      </c>
      <c r="R259" t="str">
        <f>TEXT(C259,"mmm")</f>
        <v>Feb</v>
      </c>
      <c r="S259" t="str">
        <f>TEXT(C259,"yyyy-mm")</f>
        <v>2026-02</v>
      </c>
    </row>
    <row r="260" spans="1:19" x14ac:dyDescent="0.25">
      <c r="A260" t="s">
        <v>321</v>
      </c>
      <c r="B260" t="s">
        <v>14</v>
      </c>
      <c r="C260" s="1">
        <v>46077</v>
      </c>
      <c r="D260" s="1">
        <v>46107</v>
      </c>
      <c r="E260" s="1">
        <v>46110</v>
      </c>
      <c r="F260" t="s">
        <v>30</v>
      </c>
      <c r="G260" t="s">
        <v>69</v>
      </c>
      <c r="H260">
        <v>747.85</v>
      </c>
      <c r="I260">
        <v>277.67</v>
      </c>
      <c r="J260" t="s">
        <v>66</v>
      </c>
      <c r="K260" t="s">
        <v>18</v>
      </c>
      <c r="L260" t="s">
        <v>19</v>
      </c>
      <c r="M260" t="s">
        <v>39</v>
      </c>
      <c r="N260" s="3">
        <f>H260-I260</f>
        <v>470.18</v>
      </c>
      <c r="O260" s="4">
        <f>IF(E260="","",E260-C260)</f>
        <v>33</v>
      </c>
      <c r="P260" s="4">
        <f ca="1">IF(N260&lt;=0,0,TODAY()-D260)</f>
        <v>-10</v>
      </c>
      <c r="Q260" s="2" t="str">
        <f ca="1">IF(N260&lt;=0,"Paid",IF(P260&lt;=0,"Current",IF(P260&lt;=30,"1-30",IF(P260&lt;=60,"31-60",IF(P260&lt;=90,"61-90","90+")))))</f>
        <v>Current</v>
      </c>
      <c r="R260" t="str">
        <f>TEXT(C260,"mmm")</f>
        <v>Feb</v>
      </c>
      <c r="S260" t="str">
        <f>TEXT(C260,"yyyy-mm")</f>
        <v>2026-02</v>
      </c>
    </row>
    <row r="261" spans="1:19" x14ac:dyDescent="0.25">
      <c r="A261" t="s">
        <v>322</v>
      </c>
      <c r="B261" t="s">
        <v>76</v>
      </c>
      <c r="C261" s="1">
        <v>46079</v>
      </c>
      <c r="D261" s="1">
        <v>46109</v>
      </c>
      <c r="F261" t="s">
        <v>59</v>
      </c>
      <c r="G261" t="s">
        <v>31</v>
      </c>
      <c r="H261">
        <v>3435.18</v>
      </c>
      <c r="I261">
        <v>0</v>
      </c>
      <c r="J261" t="s">
        <v>17</v>
      </c>
      <c r="K261" t="s">
        <v>26</v>
      </c>
      <c r="L261" t="s">
        <v>38</v>
      </c>
      <c r="M261" t="s">
        <v>32</v>
      </c>
      <c r="N261" s="3">
        <f>H261-I261</f>
        <v>3435.18</v>
      </c>
      <c r="O261" s="4" t="str">
        <f>IF(E261="","",E261-C261)</f>
        <v/>
      </c>
      <c r="P261" s="4">
        <f ca="1">IF(N261&lt;=0,0,TODAY()-D261)</f>
        <v>-12</v>
      </c>
      <c r="Q261" s="2" t="str">
        <f ca="1">IF(N261&lt;=0,"Paid",IF(P261&lt;=0,"Current",IF(P261&lt;=30,"1-30",IF(P261&lt;=60,"31-60",IF(P261&lt;=90,"61-90","90+")))))</f>
        <v>Current</v>
      </c>
      <c r="R261" t="str">
        <f>TEXT(C261,"mmm")</f>
        <v>Feb</v>
      </c>
      <c r="S261" t="str">
        <f>TEXT(C261,"yyyy-mm")</f>
        <v>2026-02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9066-A4B7-4B53-B1E8-0319E8FC885E}">
  <dimension ref="A1:I46"/>
  <sheetViews>
    <sheetView zoomScale="70" zoomScaleNormal="70" workbookViewId="0">
      <selection activeCell="J2" sqref="J2"/>
    </sheetView>
  </sheetViews>
  <sheetFormatPr defaultRowHeight="15" x14ac:dyDescent="0.25"/>
  <cols>
    <col min="1" max="1" width="17.85546875" bestFit="1" customWidth="1"/>
    <col min="2" max="2" width="27.140625" bestFit="1" customWidth="1"/>
    <col min="3" max="3" width="25.7109375" bestFit="1" customWidth="1"/>
    <col min="5" max="5" width="17.85546875" bestFit="1" customWidth="1"/>
    <col min="6" max="6" width="24.28515625" bestFit="1" customWidth="1"/>
    <col min="7" max="7" width="17.5703125" customWidth="1"/>
    <col min="8" max="8" width="22.42578125" bestFit="1" customWidth="1"/>
    <col min="9" max="9" width="27.140625" bestFit="1" customWidth="1"/>
    <col min="10" max="12" width="19" bestFit="1" customWidth="1"/>
    <col min="14" max="14" width="27.140625" bestFit="1" customWidth="1"/>
    <col min="15" max="15" width="17.28515625" bestFit="1" customWidth="1"/>
  </cols>
  <sheetData>
    <row r="1" spans="1:9" x14ac:dyDescent="0.25">
      <c r="A1" s="5" t="s">
        <v>329</v>
      </c>
      <c r="B1" t="s">
        <v>339</v>
      </c>
      <c r="C1" t="s">
        <v>340</v>
      </c>
      <c r="E1" s="5" t="s">
        <v>329</v>
      </c>
      <c r="F1" t="s">
        <v>344</v>
      </c>
    </row>
    <row r="2" spans="1:9" x14ac:dyDescent="0.25">
      <c r="A2" s="6" t="s">
        <v>330</v>
      </c>
      <c r="B2" s="3">
        <v>2659.04</v>
      </c>
      <c r="C2" s="3">
        <v>888.34</v>
      </c>
      <c r="E2" s="6" t="s">
        <v>38</v>
      </c>
      <c r="F2" s="7">
        <v>1</v>
      </c>
      <c r="H2" t="s">
        <v>353</v>
      </c>
    </row>
    <row r="3" spans="1:9" x14ac:dyDescent="0.25">
      <c r="A3" s="6" t="s">
        <v>331</v>
      </c>
      <c r="B3" s="3">
        <v>6589.59</v>
      </c>
      <c r="C3" s="3">
        <v>2632.67</v>
      </c>
      <c r="E3" s="6" t="s">
        <v>93</v>
      </c>
      <c r="F3" s="7">
        <v>2</v>
      </c>
      <c r="H3">
        <v>35.766990291262132</v>
      </c>
    </row>
    <row r="4" spans="1:9" x14ac:dyDescent="0.25">
      <c r="A4" s="6" t="s">
        <v>332</v>
      </c>
      <c r="B4" s="3">
        <v>5036.4400000000005</v>
      </c>
      <c r="C4" s="3">
        <v>2839.11</v>
      </c>
      <c r="E4" s="6" t="s">
        <v>55</v>
      </c>
      <c r="F4" s="7">
        <v>2</v>
      </c>
    </row>
    <row r="5" spans="1:9" x14ac:dyDescent="0.25">
      <c r="A5" s="6" t="s">
        <v>333</v>
      </c>
      <c r="B5" s="3">
        <v>5985.87</v>
      </c>
      <c r="C5" s="3">
        <v>1600.45</v>
      </c>
      <c r="E5" s="6" t="s">
        <v>85</v>
      </c>
      <c r="F5" s="7">
        <v>1</v>
      </c>
    </row>
    <row r="6" spans="1:9" x14ac:dyDescent="0.25">
      <c r="A6" s="6" t="s">
        <v>334</v>
      </c>
      <c r="B6" s="3">
        <v>6735.42</v>
      </c>
      <c r="C6" s="3">
        <v>4914.87</v>
      </c>
      <c r="E6" s="6" t="s">
        <v>338</v>
      </c>
      <c r="F6" s="7">
        <v>6</v>
      </c>
    </row>
    <row r="7" spans="1:9" x14ac:dyDescent="0.25">
      <c r="A7" s="6" t="s">
        <v>335</v>
      </c>
      <c r="B7" s="3">
        <v>10968.76</v>
      </c>
      <c r="C7" s="3">
        <v>4407.2700000000004</v>
      </c>
    </row>
    <row r="8" spans="1:9" x14ac:dyDescent="0.25">
      <c r="A8" s="6" t="s">
        <v>336</v>
      </c>
      <c r="B8" s="3">
        <v>1515.35</v>
      </c>
      <c r="C8" s="3">
        <v>433.89</v>
      </c>
      <c r="H8" s="5" t="s">
        <v>329</v>
      </c>
      <c r="I8" t="s">
        <v>344</v>
      </c>
    </row>
    <row r="9" spans="1:9" x14ac:dyDescent="0.25">
      <c r="A9" s="6" t="s">
        <v>337</v>
      </c>
      <c r="B9" s="3">
        <v>2022.39</v>
      </c>
      <c r="C9" s="3">
        <v>1380.97</v>
      </c>
      <c r="H9" s="6" t="s">
        <v>18</v>
      </c>
      <c r="I9" s="7">
        <v>176</v>
      </c>
    </row>
    <row r="10" spans="1:9" x14ac:dyDescent="0.25">
      <c r="A10" s="6" t="s">
        <v>338</v>
      </c>
      <c r="B10" s="3">
        <v>41512.86</v>
      </c>
      <c r="C10" s="3">
        <v>19097.57</v>
      </c>
      <c r="H10" s="6" t="s">
        <v>26</v>
      </c>
      <c r="I10" s="7">
        <v>84</v>
      </c>
    </row>
    <row r="11" spans="1:9" x14ac:dyDescent="0.25">
      <c r="E11" s="5" t="s">
        <v>329</v>
      </c>
      <c r="F11" t="s">
        <v>343</v>
      </c>
      <c r="H11" s="6" t="s">
        <v>338</v>
      </c>
      <c r="I11" s="7">
        <v>260</v>
      </c>
    </row>
    <row r="12" spans="1:9" x14ac:dyDescent="0.25">
      <c r="E12" s="6" t="s">
        <v>341</v>
      </c>
      <c r="F12" s="3">
        <v>641.42000000000007</v>
      </c>
    </row>
    <row r="13" spans="1:9" x14ac:dyDescent="0.25">
      <c r="E13" s="6" t="s">
        <v>342</v>
      </c>
      <c r="F13" s="3">
        <v>21773.87</v>
      </c>
    </row>
    <row r="14" spans="1:9" x14ac:dyDescent="0.25">
      <c r="E14" s="6" t="s">
        <v>338</v>
      </c>
      <c r="F14" s="3">
        <v>22415.29</v>
      </c>
    </row>
    <row r="16" spans="1:9" x14ac:dyDescent="0.25">
      <c r="A16" s="5" t="s">
        <v>329</v>
      </c>
      <c r="B16" t="s">
        <v>339</v>
      </c>
      <c r="C16" t="s">
        <v>340</v>
      </c>
    </row>
    <row r="17" spans="1:6" x14ac:dyDescent="0.25">
      <c r="A17" s="6" t="s">
        <v>16</v>
      </c>
      <c r="B17" s="3">
        <v>6234.32</v>
      </c>
      <c r="C17" s="3">
        <v>3811.0099999999998</v>
      </c>
    </row>
    <row r="18" spans="1:6" x14ac:dyDescent="0.25">
      <c r="A18" s="6" t="s">
        <v>31</v>
      </c>
      <c r="B18" s="3">
        <v>8168.7300000000005</v>
      </c>
      <c r="C18" s="3">
        <v>3933.4800000000005</v>
      </c>
    </row>
    <row r="19" spans="1:6" x14ac:dyDescent="0.25">
      <c r="A19" s="6" t="s">
        <v>53</v>
      </c>
      <c r="B19" s="3">
        <v>13007.86</v>
      </c>
      <c r="C19" s="3">
        <v>6795.58</v>
      </c>
    </row>
    <row r="20" spans="1:6" x14ac:dyDescent="0.25">
      <c r="A20" s="6" t="s">
        <v>69</v>
      </c>
      <c r="B20" s="3">
        <v>1529.33</v>
      </c>
      <c r="C20" s="3">
        <v>942.61</v>
      </c>
      <c r="E20" s="5" t="s">
        <v>329</v>
      </c>
      <c r="F20" t="s">
        <v>344</v>
      </c>
    </row>
    <row r="21" spans="1:6" x14ac:dyDescent="0.25">
      <c r="A21" s="6" t="s">
        <v>37</v>
      </c>
      <c r="B21" s="3">
        <v>12572.619999999999</v>
      </c>
      <c r="C21" s="3">
        <v>3614.8900000000003</v>
      </c>
      <c r="E21" s="6" t="s">
        <v>25</v>
      </c>
      <c r="F21" s="7">
        <v>162</v>
      </c>
    </row>
    <row r="22" spans="1:6" x14ac:dyDescent="0.25">
      <c r="A22" s="6" t="s">
        <v>338</v>
      </c>
      <c r="B22" s="3">
        <v>41512.86</v>
      </c>
      <c r="C22" s="3">
        <v>19097.57</v>
      </c>
      <c r="E22" s="6" t="s">
        <v>66</v>
      </c>
      <c r="F22" s="7">
        <v>53</v>
      </c>
    </row>
    <row r="23" spans="1:6" x14ac:dyDescent="0.25">
      <c r="E23" s="6" t="s">
        <v>17</v>
      </c>
      <c r="F23" s="7">
        <v>45</v>
      </c>
    </row>
    <row r="24" spans="1:6" x14ac:dyDescent="0.25">
      <c r="E24" s="6" t="s">
        <v>338</v>
      </c>
      <c r="F24" s="7">
        <v>260</v>
      </c>
    </row>
    <row r="25" spans="1:6" x14ac:dyDescent="0.25">
      <c r="A25" s="5" t="s">
        <v>329</v>
      </c>
      <c r="B25" t="s">
        <v>339</v>
      </c>
      <c r="C25" t="s">
        <v>340</v>
      </c>
    </row>
    <row r="26" spans="1:6" x14ac:dyDescent="0.25">
      <c r="A26" s="6" t="s">
        <v>45</v>
      </c>
      <c r="B26" s="3">
        <v>41512.859999999993</v>
      </c>
      <c r="C26" s="3">
        <v>19097.570000000003</v>
      </c>
    </row>
    <row r="27" spans="1:6" x14ac:dyDescent="0.25">
      <c r="A27" s="6" t="s">
        <v>338</v>
      </c>
      <c r="B27" s="3">
        <v>41512.859999999993</v>
      </c>
      <c r="C27" s="3">
        <v>19097.570000000003</v>
      </c>
    </row>
    <row r="29" spans="1:6" x14ac:dyDescent="0.25">
      <c r="E29" s="5" t="s">
        <v>325</v>
      </c>
      <c r="F29" t="s">
        <v>354</v>
      </c>
    </row>
    <row r="31" spans="1:6" x14ac:dyDescent="0.25">
      <c r="E31" t="s">
        <v>343</v>
      </c>
    </row>
    <row r="32" spans="1:6" x14ac:dyDescent="0.25">
      <c r="E32" s="3">
        <v>169889.42999999993</v>
      </c>
    </row>
    <row r="35" spans="1:5" x14ac:dyDescent="0.25">
      <c r="E35" t="s">
        <v>344</v>
      </c>
    </row>
    <row r="36" spans="1:5" x14ac:dyDescent="0.25">
      <c r="E36" s="7">
        <v>260</v>
      </c>
    </row>
    <row r="37" spans="1:5" x14ac:dyDescent="0.25">
      <c r="A37" s="5" t="s">
        <v>329</v>
      </c>
      <c r="B37" t="s">
        <v>339</v>
      </c>
      <c r="C37" t="s">
        <v>340</v>
      </c>
    </row>
    <row r="38" spans="1:5" x14ac:dyDescent="0.25">
      <c r="A38" s="6" t="s">
        <v>330</v>
      </c>
      <c r="B38" s="3">
        <v>2659.04</v>
      </c>
      <c r="C38" s="3">
        <v>888.34</v>
      </c>
    </row>
    <row r="39" spans="1:5" x14ac:dyDescent="0.25">
      <c r="A39" s="6" t="s">
        <v>331</v>
      </c>
      <c r="B39" s="3">
        <v>6589.59</v>
      </c>
      <c r="C39" s="3">
        <v>2632.67</v>
      </c>
    </row>
    <row r="40" spans="1:5" x14ac:dyDescent="0.25">
      <c r="A40" s="6" t="s">
        <v>332</v>
      </c>
      <c r="B40" s="3">
        <v>5036.4400000000005</v>
      </c>
      <c r="C40" s="3">
        <v>2839.11</v>
      </c>
    </row>
    <row r="41" spans="1:5" x14ac:dyDescent="0.25">
      <c r="A41" s="6" t="s">
        <v>333</v>
      </c>
      <c r="B41" s="3">
        <v>5985.87</v>
      </c>
      <c r="C41" s="3">
        <v>1600.45</v>
      </c>
    </row>
    <row r="42" spans="1:5" x14ac:dyDescent="0.25">
      <c r="A42" s="6" t="s">
        <v>334</v>
      </c>
      <c r="B42" s="3">
        <v>6735.42</v>
      </c>
      <c r="C42" s="3">
        <v>4914.87</v>
      </c>
    </row>
    <row r="43" spans="1:5" x14ac:dyDescent="0.25">
      <c r="A43" s="6" t="s">
        <v>335</v>
      </c>
      <c r="B43" s="3">
        <v>10968.76</v>
      </c>
      <c r="C43" s="3">
        <v>4407.2700000000004</v>
      </c>
    </row>
    <row r="44" spans="1:5" x14ac:dyDescent="0.25">
      <c r="A44" s="6" t="s">
        <v>336</v>
      </c>
      <c r="B44" s="3">
        <v>1515.35</v>
      </c>
      <c r="C44" s="3">
        <v>433.89</v>
      </c>
    </row>
    <row r="45" spans="1:5" x14ac:dyDescent="0.25">
      <c r="A45" s="6" t="s">
        <v>337</v>
      </c>
      <c r="B45" s="3">
        <v>2022.39</v>
      </c>
      <c r="C45" s="3">
        <v>1380.97</v>
      </c>
    </row>
    <row r="46" spans="1:5" x14ac:dyDescent="0.25">
      <c r="A46" s="6" t="s">
        <v>338</v>
      </c>
      <c r="B46" s="3">
        <v>41512.86</v>
      </c>
      <c r="C46" s="3">
        <v>19097.57</v>
      </c>
    </row>
  </sheetData>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75BE-8848-4E05-A050-61B7D9C6B7FD}">
  <dimension ref="A1:H4"/>
  <sheetViews>
    <sheetView showGridLines="0" tabSelected="1" zoomScale="80" zoomScaleNormal="80" workbookViewId="0">
      <selection activeCell="M24" sqref="M24"/>
    </sheetView>
  </sheetViews>
  <sheetFormatPr defaultRowHeight="15" x14ac:dyDescent="0.25"/>
  <cols>
    <col min="1" max="3" width="18.28515625" bestFit="1" customWidth="1"/>
    <col min="4" max="4" width="17.7109375" bestFit="1" customWidth="1"/>
    <col min="5" max="5" width="18.7109375" bestFit="1" customWidth="1"/>
    <col min="6" max="6" width="17.7109375" bestFit="1" customWidth="1"/>
    <col min="7" max="7" width="19.7109375" customWidth="1"/>
    <col min="8" max="8" width="16.85546875" bestFit="1" customWidth="1"/>
    <col min="9" max="9" width="9.140625" customWidth="1"/>
  </cols>
  <sheetData>
    <row r="1" spans="1:8" x14ac:dyDescent="0.25">
      <c r="A1" s="8" t="s">
        <v>345</v>
      </c>
      <c r="B1" s="8" t="s">
        <v>346</v>
      </c>
      <c r="C1" s="8" t="s">
        <v>347</v>
      </c>
      <c r="D1" s="8" t="s">
        <v>348</v>
      </c>
      <c r="E1" s="8" t="s">
        <v>349</v>
      </c>
      <c r="F1" s="8" t="s">
        <v>350</v>
      </c>
      <c r="G1" s="8" t="s">
        <v>351</v>
      </c>
      <c r="H1" s="8" t="s">
        <v>352</v>
      </c>
    </row>
    <row r="2" spans="1:8" ht="21" x14ac:dyDescent="0.35">
      <c r="A2" s="11">
        <f>GETPIVOTDATA("Sum of Billed_Amount",Pivot_Tables!$A$1)</f>
        <v>41512.86</v>
      </c>
      <c r="B2" s="11">
        <f>GETPIVOTDATA("Sum of Paid_Amount",Pivot_Tables!$A$1)</f>
        <v>19097.57</v>
      </c>
      <c r="C2" s="11">
        <f>GETPIVOTDATA("Outstanding_Balance",Pivot_Tables!$E$11)</f>
        <v>22415.29</v>
      </c>
      <c r="D2" s="10">
        <f>IFERROR(B2/A2,0)</f>
        <v>0.46003985271070219</v>
      </c>
      <c r="E2" s="12">
        <f>GETPIVOTDATA("Days_to_Pay",Pivot_Tables!$H$2)</f>
        <v>35.766990291262132</v>
      </c>
      <c r="F2" s="9">
        <f>GETPIVOTDATA("Invoice_ID",Pivot_Tables!$E$20,"Payment_Status","Unpaid")</f>
        <v>45</v>
      </c>
      <c r="G2" s="11">
        <f>GETPIVOTDATA("Outstanding_Balance",Pivot_Tables!$E$31)</f>
        <v>169889.42999999993</v>
      </c>
      <c r="H2" s="10">
        <f>IFERROR(H3/H4,0)</f>
        <v>0.32307692307692309</v>
      </c>
    </row>
    <row r="3" spans="1:8" ht="21" hidden="1" x14ac:dyDescent="0.35">
      <c r="H3" s="9">
        <f>GETPIVOTDATA("Invoice_ID",Pivot_Tables!$H$8,"Denial_or_Exception","Yes")</f>
        <v>84</v>
      </c>
    </row>
    <row r="4" spans="1:8" ht="21" hidden="1" x14ac:dyDescent="0.35">
      <c r="H4" s="9">
        <f>GETPIVOTDATA("Invoice_ID",Pivot_Tables!$E$35)</f>
        <v>260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revenue_billing_raw_data_sample</vt:lpstr>
      <vt:lpstr>Cleaned_Data</vt:lpstr>
      <vt:lpstr>Pivot_Tables</vt:lpstr>
      <vt:lpstr>Revenue_Dashboard_v2.xlsx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portillo</cp:lastModifiedBy>
  <cp:lastPrinted>2026-03-17T02:13:39Z</cp:lastPrinted>
  <dcterms:created xsi:type="dcterms:W3CDTF">2026-03-10T03:31:19Z</dcterms:created>
  <dcterms:modified xsi:type="dcterms:W3CDTF">2026-03-17T02:47:12Z</dcterms:modified>
</cp:coreProperties>
</file>